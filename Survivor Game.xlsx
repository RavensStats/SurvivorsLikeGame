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tgra\Desktop\GameDev\SurvivorsLike\SurvivorsLike\SurvivorsLikeGame\"/>
    </mc:Choice>
  </mc:AlternateContent>
  <xr:revisionPtr revIDLastSave="0" documentId="13_ncr:1_{8E727D29-CA7C-4862-9717-712B59756EDF}" xr6:coauthVersionLast="47" xr6:coauthVersionMax="47" xr10:uidLastSave="{00000000-0000-0000-0000-000000000000}"/>
  <bookViews>
    <workbookView xWindow="-108" yWindow="-108" windowWidth="23256" windowHeight="12456" xr2:uid="{00000000-000D-0000-FFFF-FFFF00000000}"/>
  </bookViews>
  <sheets>
    <sheet name="Todo" sheetId="5" r:id="rId1"/>
    <sheet name="Enemies" sheetId="6" r:id="rId2"/>
    <sheet name="POI" sheetId="9" r:id="rId3"/>
    <sheet name="Weapons Audit" sheetId="8" r:id="rId4"/>
    <sheet name="Passive Items" sheetId="14" r:id="rId5"/>
    <sheet name="Ultimates" sheetId="12" r:id="rId6"/>
    <sheet name="Biomes" sheetId="11" r:id="rId7"/>
    <sheet name="Ideas" sheetId="10" r:id="rId8"/>
    <sheet name="Achievements" sheetId="13"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1" i="12" l="1"/>
  <c r="C50" i="12"/>
  <c r="C49" i="12"/>
  <c r="C48" i="12"/>
  <c r="C47" i="12"/>
  <c r="C46" i="12"/>
  <c r="C45" i="12"/>
  <c r="C44" i="12"/>
  <c r="C43" i="12"/>
  <c r="C42" i="12"/>
  <c r="C41" i="12"/>
  <c r="C40" i="12"/>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12" i="12"/>
  <c r="C11" i="12"/>
  <c r="C10" i="12"/>
  <c r="C9" i="12"/>
  <c r="C8" i="12"/>
  <c r="C7" i="12"/>
  <c r="C6" i="12"/>
  <c r="C5" i="12"/>
  <c r="C4" i="12"/>
  <c r="C3" i="12"/>
  <c r="C2" i="12"/>
  <c r="F3" i="8"/>
  <c r="F4" i="8"/>
  <c r="F5" i="8"/>
  <c r="F6" i="8"/>
  <c r="F7" i="8"/>
  <c r="F8" i="8"/>
  <c r="F29" i="8"/>
  <c r="F9" i="8"/>
  <c r="F10" i="8"/>
  <c r="F11" i="8"/>
  <c r="F12" i="8"/>
  <c r="F13" i="8"/>
  <c r="F14" i="8"/>
  <c r="F15" i="8"/>
  <c r="F16" i="8"/>
  <c r="F17" i="8"/>
  <c r="F18" i="8"/>
  <c r="F19" i="8"/>
  <c r="F20" i="8"/>
  <c r="F21" i="8"/>
  <c r="F22" i="8"/>
  <c r="F23" i="8"/>
  <c r="F24" i="8"/>
  <c r="F49" i="8"/>
  <c r="F25" i="8"/>
  <c r="F26" i="8"/>
  <c r="F27" i="8"/>
  <c r="F28" i="8"/>
  <c r="F30" i="8"/>
  <c r="F31" i="8"/>
  <c r="F32" i="8"/>
  <c r="F33" i="8"/>
  <c r="F34" i="8"/>
  <c r="F35" i="8"/>
  <c r="F36" i="8"/>
  <c r="F37" i="8"/>
  <c r="F38" i="8"/>
  <c r="F39" i="8"/>
  <c r="F40" i="8"/>
  <c r="F41" i="8"/>
  <c r="F42" i="8"/>
  <c r="F43" i="8"/>
  <c r="F44" i="8"/>
  <c r="F45" i="8"/>
  <c r="F46" i="8"/>
  <c r="F47" i="8"/>
  <c r="F48" i="8"/>
  <c r="F50" i="8"/>
  <c r="F51" i="8"/>
  <c r="F2" i="8"/>
</calcChain>
</file>

<file path=xl/sharedStrings.xml><?xml version="1.0" encoding="utf-8"?>
<sst xmlns="http://schemas.openxmlformats.org/spreadsheetml/2006/main" count="549" uniqueCount="393">
  <si>
    <t>Knight</t>
  </si>
  <si>
    <t xml:space="preserve"> Necromancer</t>
  </si>
  <si>
    <t xml:space="preserve"> Alchemist</t>
  </si>
  <si>
    <t xml:space="preserve"> Ghost</t>
  </si>
  <si>
    <t xml:space="preserve"> Vampire</t>
  </si>
  <si>
    <t xml:space="preserve"> Sniper</t>
  </si>
  <si>
    <t xml:space="preserve"> Assassin</t>
  </si>
  <si>
    <t xml:space="preserve"> Shapeshifter</t>
  </si>
  <si>
    <t>Character</t>
  </si>
  <si>
    <t>Graveyard</t>
  </si>
  <si>
    <t xml:space="preserve"> Forge</t>
  </si>
  <si>
    <t xml:space="preserve"> HolyShrine</t>
  </si>
  <si>
    <t xml:space="preserve"> CursedAltar</t>
  </si>
  <si>
    <t xml:space="preserve"> ManaWell</t>
  </si>
  <si>
    <t xml:space="preserve"> MerchantCart</t>
  </si>
  <si>
    <t xml:space="preserve"> AncientLibrary</t>
  </si>
  <si>
    <t xml:space="preserve"> HealingSpring</t>
  </si>
  <si>
    <t xml:space="preserve"> ScrapHeap</t>
  </si>
  <si>
    <t xml:space="preserve"> VolcanicVent</t>
  </si>
  <si>
    <t xml:space="preserve"> FrozenObelisk</t>
  </si>
  <si>
    <t xml:space="preserve"> ThievesDen</t>
  </si>
  <si>
    <t xml:space="preserve"> Monolith</t>
  </si>
  <si>
    <t xml:space="preserve"> RadarStation</t>
  </si>
  <si>
    <t xml:space="preserve"> ToxicPit</t>
  </si>
  <si>
    <t xml:space="preserve"> GoldenStatue</t>
  </si>
  <si>
    <t xml:space="preserve"> TimeRift</t>
  </si>
  <si>
    <t xml:space="preserve"> Overgrowth</t>
  </si>
  <si>
    <t xml:space="preserve"> Meteorite</t>
  </si>
  <si>
    <t>POI</t>
  </si>
  <si>
    <t>Chaser</t>
  </si>
  <si>
    <t xml:space="preserve"> Charger</t>
  </si>
  <si>
    <t xml:space="preserve"> Ranged</t>
  </si>
  <si>
    <t xml:space="preserve"> Tank</t>
  </si>
  <si>
    <t xml:space="preserve"> Exploder</t>
  </si>
  <si>
    <t xml:space="preserve"> Shaman</t>
  </si>
  <si>
    <t xml:space="preserve"> Freezer</t>
  </si>
  <si>
    <t xml:space="preserve"> Swarmer</t>
  </si>
  <si>
    <t xml:space="preserve"> ShieldBearer</t>
  </si>
  <si>
    <t xml:space="preserve"> BlackHole</t>
  </si>
  <si>
    <t xml:space="preserve"> Wall</t>
  </si>
  <si>
    <t xml:space="preserve"> Thief</t>
  </si>
  <si>
    <t xml:space="preserve"> Commander</t>
  </si>
  <si>
    <t xml:space="preserve"> Mimic</t>
  </si>
  <si>
    <t xml:space="preserve"> Linker</t>
  </si>
  <si>
    <t xml:space="preserve"> Chrono</t>
  </si>
  <si>
    <t xml:space="preserve"> Reflector</t>
  </si>
  <si>
    <t xml:space="preserve"> Burrower</t>
  </si>
  <si>
    <t xml:space="preserve"> Parasite</t>
  </si>
  <si>
    <t xml:space="preserve"> Magnet</t>
  </si>
  <si>
    <t xml:space="preserve"> Puffer</t>
  </si>
  <si>
    <t xml:space="preserve"> Jockey</t>
  </si>
  <si>
    <t xml:space="preserve"> Mortar</t>
  </si>
  <si>
    <t xml:space="preserve"> Siren</t>
  </si>
  <si>
    <t xml:space="preserve"> Gambler</t>
  </si>
  <si>
    <t xml:space="preserve"> Webber</t>
  </si>
  <si>
    <t xml:space="preserve"> Mirror</t>
  </si>
  <si>
    <t xml:space="preserve"> Battery</t>
  </si>
  <si>
    <t xml:space="preserve"> Medic</t>
  </si>
  <si>
    <t xml:space="preserve"> SlimeQueen</t>
  </si>
  <si>
    <t xml:space="preserve"> WindSpirit</t>
  </si>
  <si>
    <t xml:space="preserve"> GoldGrit</t>
  </si>
  <si>
    <t xml:space="preserve"> Hive</t>
  </si>
  <si>
    <t xml:space="preserve"> Glitch</t>
  </si>
  <si>
    <t xml:space="preserve"> MimicChest</t>
  </si>
  <si>
    <t xml:space="preserve"> Sandworm</t>
  </si>
  <si>
    <t xml:space="preserve"> Silencer</t>
  </si>
  <si>
    <t xml:space="preserve"> Gravitron</t>
  </si>
  <si>
    <t xml:space="preserve"> SplitterCell</t>
  </si>
  <si>
    <t xml:space="preserve"> ParasiteSeed</t>
  </si>
  <si>
    <t xml:space="preserve"> FogWeaver</t>
  </si>
  <si>
    <t xml:space="preserve"> MirrorShield</t>
  </si>
  <si>
    <t xml:space="preserve"> LeadFoot</t>
  </si>
  <si>
    <t xml:space="preserve"> Finality</t>
  </si>
  <si>
    <t xml:space="preserve"> Orbit</t>
  </si>
  <si>
    <t xml:space="preserve"> MagnetRepel</t>
  </si>
  <si>
    <t xml:space="preserve"> ZigZagger</t>
  </si>
  <si>
    <t xml:space="preserve"> Bouncer</t>
  </si>
  <si>
    <t xml:space="preserve"> Anchor</t>
  </si>
  <si>
    <t xml:space="preserve"> SmokeBomb</t>
  </si>
  <si>
    <t xml:space="preserve"> Jammer</t>
  </si>
  <si>
    <t xml:space="preserve"> SniperElite</t>
  </si>
  <si>
    <t xml:space="preserve"> Flashbanger</t>
  </si>
  <si>
    <t xml:space="preserve"> Curver</t>
  </si>
  <si>
    <t xml:space="preserve"> RustAura</t>
  </si>
  <si>
    <t xml:space="preserve"> XPLeech</t>
  </si>
  <si>
    <t xml:space="preserve"> Coolant</t>
  </si>
  <si>
    <t xml:space="preserve"> WeightLifter</t>
  </si>
  <si>
    <t xml:space="preserve"> TaxCollector</t>
  </si>
  <si>
    <t xml:space="preserve"> Inverter</t>
  </si>
  <si>
    <t xml:space="preserve"> ScreenGlitch</t>
  </si>
  <si>
    <t xml:space="preserve"> Shadow</t>
  </si>
  <si>
    <t xml:space="preserve"> GhostWriter</t>
  </si>
  <si>
    <t xml:space="preserve"> LagSpirit</t>
  </si>
  <si>
    <t xml:space="preserve"> Cheerleader</t>
  </si>
  <si>
    <t xml:space="preserve"> Totem</t>
  </si>
  <si>
    <t xml:space="preserve"> Drummer</t>
  </si>
  <si>
    <t xml:space="preserve"> FlagBearer</t>
  </si>
  <si>
    <t xml:space="preserve"> Bridge</t>
  </si>
  <si>
    <t xml:space="preserve"> Landmine</t>
  </si>
  <si>
    <t xml:space="preserve"> SporeCloud</t>
  </si>
  <si>
    <t xml:space="preserve"> IceCube</t>
  </si>
  <si>
    <t xml:space="preserve"> TarPit</t>
  </si>
  <si>
    <t xml:space="preserve"> Meteor</t>
  </si>
  <si>
    <t xml:space="preserve"> Paradox</t>
  </si>
  <si>
    <t xml:space="preserve"> Collector</t>
  </si>
  <si>
    <t xml:space="preserve"> Reanimator</t>
  </si>
  <si>
    <t xml:space="preserve"> TimeLooper</t>
  </si>
  <si>
    <t xml:space="preserve"> MimicUI</t>
  </si>
  <si>
    <t xml:space="preserve"> Pacifist</t>
  </si>
  <si>
    <t xml:space="preserve"> Drunk</t>
  </si>
  <si>
    <t xml:space="preserve"> GlassCannon</t>
  </si>
  <si>
    <t xml:space="preserve"> Echo</t>
  </si>
  <si>
    <t xml:space="preserve"> Blackout</t>
  </si>
  <si>
    <t xml:space="preserve"> Puppeteer</t>
  </si>
  <si>
    <t xml:space="preserve"> Firewall</t>
  </si>
  <si>
    <t xml:space="preserve"> GreedyKing</t>
  </si>
  <si>
    <t xml:space="preserve"> Speedster</t>
  </si>
  <si>
    <t xml:space="preserve"> Juggernaut</t>
  </si>
  <si>
    <t xml:space="preserve"> SwarmLord</t>
  </si>
  <si>
    <t xml:space="preserve"> VampireBat</t>
  </si>
  <si>
    <t xml:space="preserve"> Nemesis</t>
  </si>
  <si>
    <t xml:space="preserve"> Dev</t>
  </si>
  <si>
    <t>Enemies</t>
  </si>
  <si>
    <t>Sprites</t>
  </si>
  <si>
    <t>Ads</t>
  </si>
  <si>
    <t>Unique Enemy Movement</t>
  </si>
  <si>
    <t>Evolutions</t>
  </si>
  <si>
    <t>Cleanup unused code fragments</t>
  </si>
  <si>
    <t>Unique Weapon Attacks</t>
  </si>
  <si>
    <t>Game Modes</t>
  </si>
  <si>
    <t>Hunter's Bow</t>
  </si>
  <si>
    <t>Sword</t>
  </si>
  <si>
    <t>Axe</t>
  </si>
  <si>
    <t>Flame</t>
  </si>
  <si>
    <t>War Hammer</t>
  </si>
  <si>
    <t>Sentry Gun</t>
  </si>
  <si>
    <t>Acid Flask</t>
  </si>
  <si>
    <t>Gold Coin</t>
  </si>
  <si>
    <t>Spectral Beam</t>
  </si>
  <si>
    <t>Katana</t>
  </si>
  <si>
    <t>Sniper Rifle</t>
  </si>
  <si>
    <t>Chain Lightning</t>
  </si>
  <si>
    <t>Ice Shard</t>
  </si>
  <si>
    <t>Assassin Blade</t>
  </si>
  <si>
    <t>Trident</t>
  </si>
  <si>
    <t>Wolf Claws</t>
  </si>
  <si>
    <t>Void Orb</t>
  </si>
  <si>
    <t>Arcane Arrow</t>
  </si>
  <si>
    <t>Plague Canister</t>
  </si>
  <si>
    <t>Dual Revolvers</t>
  </si>
  <si>
    <t>Throwing Axe</t>
  </si>
  <si>
    <t>Scrap Maul</t>
  </si>
  <si>
    <t>Oracle Beam</t>
  </si>
  <si>
    <t>Shadow Clone</t>
  </si>
  <si>
    <t>Spirit Aura</t>
  </si>
  <si>
    <t>Caltrop Throw</t>
  </si>
  <si>
    <t>BindingCircle</t>
  </si>
  <si>
    <t>SawBlade</t>
  </si>
  <si>
    <t>Shuriken</t>
  </si>
  <si>
    <t>Snowflake</t>
  </si>
  <si>
    <t>Summon</t>
  </si>
  <si>
    <t>WarHammer</t>
  </si>
  <si>
    <t>WaterDroplet</t>
  </si>
  <si>
    <t>Wave</t>
  </si>
  <si>
    <t>Gunslinger</t>
  </si>
  <si>
    <t>Tactician</t>
  </si>
  <si>
    <t>Aura</t>
  </si>
  <si>
    <t>Caltrop</t>
  </si>
  <si>
    <t>Oracle</t>
  </si>
  <si>
    <t>Enchanter</t>
  </si>
  <si>
    <t>Ninja</t>
  </si>
  <si>
    <t>Dwarf</t>
  </si>
  <si>
    <t>Hydromancer</t>
  </si>
  <si>
    <t>Artificer</t>
  </si>
  <si>
    <t>Hydrokineticist</t>
  </si>
  <si>
    <t>Battlemage</t>
  </si>
  <si>
    <t>ArcticScout</t>
  </si>
  <si>
    <t>Chronomancer</t>
  </si>
  <si>
    <t>Weapon</t>
  </si>
  <si>
    <t>Sprite Folder</t>
  </si>
  <si>
    <t>Mage</t>
  </si>
  <si>
    <t>(prefab — no spriteFolder)</t>
  </si>
  <si>
    <t>Ranger</t>
  </si>
  <si>
    <t>Arrow</t>
  </si>
  <si>
    <t>Pyromancer</t>
  </si>
  <si>
    <t>Rogue</t>
  </si>
  <si>
    <t>Blowgun</t>
  </si>
  <si>
    <t>Dart</t>
  </si>
  <si>
    <t>Necromancer</t>
  </si>
  <si>
    <t>Paladin</t>
  </si>
  <si>
    <t>HolySword</t>
  </si>
  <si>
    <t>Engineer</t>
  </si>
  <si>
    <t>SentryGun</t>
  </si>
  <si>
    <t>Alchemist</t>
  </si>
  <si>
    <t>PoisonPool</t>
  </si>
  <si>
    <t>Merchant</t>
  </si>
  <si>
    <t>Misc/GoldCoin</t>
  </si>
  <si>
    <t>Berserker</t>
  </si>
  <si>
    <t>Ghost</t>
  </si>
  <si>
    <t>RadialLaser</t>
  </si>
  <si>
    <t>Vampire</t>
  </si>
  <si>
    <t>Blood Pool</t>
  </si>
  <si>
    <t>BloodPool</t>
  </si>
  <si>
    <t>Samurai</t>
  </si>
  <si>
    <t>Bard</t>
  </si>
  <si>
    <t>MusicNote</t>
  </si>
  <si>
    <t>Sniper</t>
  </si>
  <si>
    <t>SniperReticle</t>
  </si>
  <si>
    <t>Monk</t>
  </si>
  <si>
    <t>Fist</t>
  </si>
  <si>
    <t>Druid</t>
  </si>
  <si>
    <t>Vines</t>
  </si>
  <si>
    <t>Cyborg</t>
  </si>
  <si>
    <t>Radial Laser</t>
  </si>
  <si>
    <t>Cleric</t>
  </si>
  <si>
    <t>Cryomancer</t>
  </si>
  <si>
    <t>IceShard</t>
  </si>
  <si>
    <t>Warlock</t>
  </si>
  <si>
    <t>ChainLightning</t>
  </si>
  <si>
    <t>Assassin</t>
  </si>
  <si>
    <t>PoisonDagger</t>
  </si>
  <si>
    <t>Gladiator</t>
  </si>
  <si>
    <t>Time Manipulation</t>
  </si>
  <si>
    <t>none</t>
  </si>
  <si>
    <t>VoidCaller</t>
  </si>
  <si>
    <t>Beastmaster</t>
  </si>
  <si>
    <t>WolfClaws</t>
  </si>
  <si>
    <t>NecroKnight</t>
  </si>
  <si>
    <t>Scythe</t>
  </si>
  <si>
    <t>ArcaneArcher</t>
  </si>
  <si>
    <t>ArcaneArrow</t>
  </si>
  <si>
    <t>PlagueDoctor</t>
  </si>
  <si>
    <t>PoisonGas</t>
  </si>
  <si>
    <t>Viking</t>
  </si>
  <si>
    <t>WoodcutterAxe</t>
  </si>
  <si>
    <t>Junker</t>
  </si>
  <si>
    <t>ScrapMaul</t>
  </si>
  <si>
    <t>PuppetMaster</t>
  </si>
  <si>
    <t>Binding Circle</t>
  </si>
  <si>
    <t>Saw Blade</t>
  </si>
  <si>
    <t>Tidal Wave</t>
  </si>
  <si>
    <t>Downpour</t>
  </si>
  <si>
    <t>Creeping Vines</t>
  </si>
  <si>
    <t>Fist of Absolution</t>
  </si>
  <si>
    <t>Ballad</t>
  </si>
  <si>
    <t>Sword of the Heavens</t>
  </si>
  <si>
    <t>Summon Undead</t>
  </si>
  <si>
    <t>Pyromancy</t>
  </si>
  <si>
    <t>Longsword</t>
  </si>
  <si>
    <t>Magician's Wand</t>
  </si>
  <si>
    <t>POI Ability</t>
  </si>
  <si>
    <t>SpectralBeam</t>
  </si>
  <si>
    <t>VoidOrb</t>
  </si>
  <si>
    <t>OracleBeam</t>
  </si>
  <si>
    <t>Psammomancer</t>
  </si>
  <si>
    <t>Sand Shield</t>
  </si>
  <si>
    <t>SandShield</t>
  </si>
  <si>
    <t>Hivemaster</t>
  </si>
  <si>
    <t>InsectSwarm</t>
  </si>
  <si>
    <t>Insect Swarm</t>
  </si>
  <si>
    <t>Geomancer</t>
  </si>
  <si>
    <t>Aeromancer</t>
  </si>
  <si>
    <t>Wind Storm</t>
  </si>
  <si>
    <t>WindStorm</t>
  </si>
  <si>
    <t>TimeManipulation</t>
  </si>
  <si>
    <t>User Habit Tracker</t>
  </si>
  <si>
    <t>Stats Tracking (Damage over time by weapon, number of kills, etc.)</t>
  </si>
  <si>
    <t>Custom Attack Logic</t>
  </si>
  <si>
    <t>Dimension Master</t>
  </si>
  <si>
    <t>Teleportation Strike</t>
  </si>
  <si>
    <t>TeleportationStrike</t>
  </si>
  <si>
    <t>Gravity Manipulator</t>
  </si>
  <si>
    <t>Gravity Well</t>
  </si>
  <si>
    <t>GravityWell</t>
  </si>
  <si>
    <t>Infect Enemies and that hurts nearby enemies</t>
  </si>
  <si>
    <t>Characters</t>
  </si>
  <si>
    <t>Sigil Architect – The Character drops a trail behind them, and if they enclose the trail, the trail and all enemies within die/take damage</t>
  </si>
  <si>
    <t>Parasite Enemies – Enemies can absorb  XP Gems and evolve into Elites.</t>
  </si>
  <si>
    <t xml:space="preserve">Auction House – Every 3 minutes, the game pauses for a "Blind Auction." Powerful items are put up for bid against "AI Rivals" who are also in the map with you. </t>
  </si>
  <si>
    <t>Temporal Echoes (The Time-Loop Mode) – The run is divided into short 2-minute loops that stack on top of each other. When the 2-minute timer hits zero, you are sent back to the start. However, a "Ghost Echo" of your previous run is now playing alongside you, performing the exact movements and shots you did in the last loop.</t>
  </si>
  <si>
    <t>Roulette Weapons – Every 2 minutes, your weapons randomly swaps to different ones</t>
  </si>
  <si>
    <t>The Bodyguard (VIP Escort) – You are invincible, but you are protecting a "Client" who is very fragile.</t>
  </si>
  <si>
    <t>The Shadow – AI with your build spawns every 5 minutes. You must defeat them or lose</t>
  </si>
  <si>
    <t>Shared Pool (Co-op/Versus) – You and a rival AI share the same upgrade pool. If the AI picks the "Chain Lightning," it's gone from your draft options forever.</t>
  </si>
  <si>
    <t>Shared Pool (Co-op/Versus) – You and a rival PVP Player share the same upgrade pool. If the AI picks the "Chain Lightning," it's gone from your draft options forever.</t>
  </si>
  <si>
    <t>Through The Looking Glass – PVP, one player spawns the waves of enemies from a budget, and the other plays the game normally</t>
  </si>
  <si>
    <t>Gravity Well– The center of the map has a massive gravitational pull.</t>
  </si>
  <si>
    <t>The Architect (Tower Defense)</t>
  </si>
  <si>
    <t>lower health = higher damage</t>
  </si>
  <si>
    <t>The Slime Trail – You leave a trail of "acid"  behind you.</t>
  </si>
  <si>
    <t>Minimalist – You can only have one weapon and one passive buff at a time. Every time you level up, you must replace your current item with a new one.</t>
  </si>
  <si>
    <t>Floor is Lava– You can only stand on "safe tiles" that disappear after 5 seconds. You must constantly move to new platforms while fighting the horde.</t>
  </si>
  <si>
    <t>Boss Rush – Every 10 seconds, a mini-boss spawns. Every minute a boss spawns.</t>
  </si>
  <si>
    <t>The Pacifist(Character) You cannot deal damage directly. You have an "Aura of Conversion." Enemies that stay inside your radius for 3 seconds become your allies.</t>
  </si>
  <si>
    <t>Mode Fusion– Once you beat any two modes, you can "Fuse" them for a Nightmare Run (e.g., The Shadow + Floor is Lava).</t>
  </si>
  <si>
    <t xml:space="preserve">Community Challenges– Every weekend, the developer picks a specific "Seed" and "Mode Combination." Everyone competes on a global leaderboard </t>
  </si>
  <si>
    <t>Jungle</t>
  </si>
  <si>
    <t>Forest</t>
  </si>
  <si>
    <t>Mountains</t>
  </si>
  <si>
    <t>Volcano</t>
  </si>
  <si>
    <t>River</t>
  </si>
  <si>
    <t>Swamp</t>
  </si>
  <si>
    <t>Plains</t>
  </si>
  <si>
    <t>High Visibility Mode</t>
  </si>
  <si>
    <t>POI Abilites &amp; Ability Fade Text upon entering</t>
  </si>
  <si>
    <t>POI Graphics &amp; Fade Text upon entering</t>
  </si>
  <si>
    <t>Cannonball</t>
  </si>
  <si>
    <t>Meteor Strike</t>
  </si>
  <si>
    <t>MeteorStrike</t>
  </si>
  <si>
    <t>Rarity</t>
  </si>
  <si>
    <t>Common</t>
  </si>
  <si>
    <t>Legendary</t>
  </si>
  <si>
    <t>Rare</t>
  </si>
  <si>
    <t>Uncommon</t>
  </si>
  <si>
    <t>RaritySort</t>
  </si>
  <si>
    <t>*Character &amp; Weapon Unlock %
Common - 53.125%
Uncommon - 25%
Rare - 12.5%
Legendary - 6.25%
Unique - 3.125%
If all charaters at a given level are unlocked, that level's % is absorbed by the next highest level</t>
  </si>
  <si>
    <t>Weapons unlock when the character is unlocked</t>
  </si>
  <si>
    <t>Character Unlock code</t>
  </si>
  <si>
    <t>Passive Items</t>
  </si>
  <si>
    <t>Weapon Card availability
Common - 53.125%
Uncommon - 25%
Rare - 12.5%
Legendary - 6.25%
Unique - 3.125%
If all unlocked weapons at a given level are unlocked, that level's % is absorbed by the next highest level</t>
  </si>
  <si>
    <t>Freestyle mode - customize weapons, enemies, etc.</t>
  </si>
  <si>
    <t>Functionality</t>
  </si>
  <si>
    <t>Weapon Card glow in the select menu, based on rarity (Blue, Green, Gold, Orange)</t>
  </si>
  <si>
    <t>Elite Gold Border Sprite, Boss Orange Border Sprite, Unique Purple Border Sprite</t>
  </si>
  <si>
    <t>Effect</t>
  </si>
  <si>
    <t>Weapon combination system where one weapon's sprite is used and the attack logic of the 2nd weapon is used (Allows for A + B or B + A)</t>
  </si>
  <si>
    <t>Enhancement system where weapons can be upgraded further with elemental damage or physical characteristics
Poison - every 1s for 3s deal 50% damage
Burning - every 0.5s deal 0.85% of HP
Vampiric - on hit, heal 10%
Stunned - Reduce movement on hit to 0 for 1 seconds
Slowed - Reduce movement on hit by 25% for 3 seconds
Frozen - Reduce movement on hit by 10% for 5 seconds. If enemy has 100% reduction of movement from Frozen, play shatter animation on enemy, deal the lesser of 10% of hp or 10 damage and remove Frozen. 
Electric - On hit, deal electric damage in a radius around enemy
Magmatic - On hit, spawn an area of lava that deals damage each second for 10 seconds then despawns
Gravitonian - Pulls enemies closer to the sprite 
Bleeding - on hit, enemy loses 0.25% of health per second for 10 seconds.
Blinding - on hit, enemy has a 50% chance to miss attacks and deal 0 damage and no attack effects for 3 seconds
Increase Attack Speed by X
Increase Damage by X
(Unique) Increase number of attacks when referenced by a weapon by X
(Unique) Increase the number of projectiles when referenced by a weapon by X</t>
  </si>
  <si>
    <t>Select 5 starting characters (Bold border in Wepons Audit)</t>
  </si>
  <si>
    <t>Unique</t>
  </si>
  <si>
    <t>ConversionZone</t>
  </si>
  <si>
    <t>Easter Egg Achievements of find the D4/6/8/10/12/20/% (D&amp;D) Dice Sprites</t>
  </si>
  <si>
    <t>Achievements</t>
  </si>
  <si>
    <t>Beat Normal/Hard/Legendary on each map</t>
  </si>
  <si>
    <t>Complete Campaign Mode</t>
  </si>
  <si>
    <t>Unlock All characters</t>
  </si>
  <si>
    <t>Beat a level using the Cleric</t>
  </si>
  <si>
    <t>Beat a level using the Necromancer</t>
  </si>
  <si>
    <t>Beat a level using the Puppetmaster</t>
  </si>
  <si>
    <t>Nightmare Mode (2x Damage to enemies)</t>
  </si>
  <si>
    <t>Beat Nightmare Mode Campaign</t>
  </si>
  <si>
    <t>Unlock Sigil Architect Mode</t>
  </si>
  <si>
    <t>Unlock Parasite Enemies Mode</t>
  </si>
  <si>
    <t>Beat Parasite Enemies Mode</t>
  </si>
  <si>
    <t>Beat Sigil Architect Mode</t>
  </si>
  <si>
    <t>Unlock Auction House Mode</t>
  </si>
  <si>
    <t>Beat Auction House Mode</t>
  </si>
  <si>
    <t>Unlock Temporal Echoes Mode</t>
  </si>
  <si>
    <t>Beat Temporal Echoes Mode</t>
  </si>
  <si>
    <t>Labarinth – The map is a grid of rooms that physically shift and rearrange every 60 seconds.</t>
  </si>
  <si>
    <t>Unlock Labarinth Mode</t>
  </si>
  <si>
    <t>Beat Labarinth Mode</t>
  </si>
  <si>
    <t>Unlock Roulette Mode</t>
  </si>
  <si>
    <t>Beat Roulette Mode</t>
  </si>
  <si>
    <t>Unlock Extraction Mode</t>
  </si>
  <si>
    <t>Beat Extraction Mode</t>
  </si>
  <si>
    <t>Unlock Shadow Mode</t>
  </si>
  <si>
    <t>Beat Shadow Mode</t>
  </si>
  <si>
    <t>Unlock Nightmare Mode (2x damage from enemies)</t>
  </si>
  <si>
    <t>Unlock Shared Pool Mode</t>
  </si>
  <si>
    <t>Win a game of Shared Pool Mode PVP</t>
  </si>
  <si>
    <t>Win a game of Shared Pool Mode PVE</t>
  </si>
  <si>
    <t>Unlock Through The Looking Glass Mode</t>
  </si>
  <si>
    <t>Win a game of TTLG Mode as the player</t>
  </si>
  <si>
    <t>Win a game of TTLG Mode as the enemies</t>
  </si>
  <si>
    <t>Unlock Minimalist Mode</t>
  </si>
  <si>
    <t>beat minimalist mode</t>
  </si>
  <si>
    <t>Unlock Floor is lava mode</t>
  </si>
  <si>
    <t>beat floor is lava mode</t>
  </si>
  <si>
    <t>Unlock Boss Rush Mode</t>
  </si>
  <si>
    <t>Beat Boss rush mode</t>
  </si>
  <si>
    <t>Unlock Mode Fusion</t>
  </si>
  <si>
    <t>Beat each fusion mode</t>
  </si>
  <si>
    <t>Beat all fusion modes</t>
  </si>
  <si>
    <t>Unlock freestyle mode</t>
  </si>
  <si>
    <t>beat freestyle mode on any settings</t>
  </si>
  <si>
    <t>beat freestyle mode on the hardest settings</t>
  </si>
  <si>
    <t>Discover each type of enemy</t>
  </si>
  <si>
    <t>Discover all enemies</t>
  </si>
  <si>
    <t>Discover all elites</t>
  </si>
  <si>
    <t>Discover all bosses</t>
  </si>
  <si>
    <t>beat all enemy types</t>
  </si>
  <si>
    <t>beat all elite types</t>
  </si>
  <si>
    <t>beat all boss types</t>
  </si>
  <si>
    <t>deal X damage (100k?)</t>
  </si>
  <si>
    <t>Heal X hp (100k?)</t>
  </si>
  <si>
    <t>Name</t>
  </si>
  <si>
    <t>Ability</t>
  </si>
  <si>
    <t>Blizzard</t>
  </si>
  <si>
    <t>The necromancer ultimate has a 75% chance to spawn a random elite of an enemy that has been killed this game. If no elites have been killed this game, spawn an elite creeper. Elites have double hp and damage as the regular versions, and move 25% faster. They also have a golden glow around their sprite. The necromancer has a 25% chance to spawn a random boss that has been killed this game. If no bosses have been killed this game, spawn a random elite enemy that has been killed instead. if no bosses or elites have been killed this game, spawn an elite creeper instead. Bosses have a red glow around their sprite.  The summoned charmed enemies are summoned at a random point in a circle around the player.</t>
  </si>
  <si>
    <t>The Puppetmaster ultimate should summon 3 more shadowclones, all with their own behavior that mimics the existing shadow clone logic, but one to the south, north , and west of the player. The ultimate spawned shadowclones and their weapons are destroyed after 12 seconds</t>
  </si>
  <si>
    <t>the Cleric ultimate should instantly convert 50% of the enemies on the screen. Elites have a 50% chance to be converted by this action. Bosses have a 10% chance.</t>
  </si>
  <si>
    <t>Activate all Time Manipulation effects at once</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</si>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</sst>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00B05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1" fillId="0" borderId="0" xfId="0" applyFont="1"/>
    <xf numFmtId="0" fontId="2" fillId="2" borderId="0" xfId="0" applyFont="1" applyFill="1" applyAlignment="1">
      <alignment horizontal="center"/>
    </xf>
    <xf numFmtId="0" fontId="1" fillId="3" borderId="0" xfId="0" applyFont="1" applyFill="1"/>
    <xf numFmtId="0" fontId="3" fillId="4" borderId="0" xfId="0" applyFont="1" applyFill="1" applyAlignment="1">
      <alignment horizontal="center"/>
    </xf>
    <xf numFmtId="0" fontId="0" fillId="0" borderId="0" xfId="0" applyAlignment="1">
      <alignment horizontal="center"/>
    </xf>
    <xf numFmtId="0" fontId="0" fillId="3" borderId="0" xfId="0" applyFill="1"/>
    <xf numFmtId="0" fontId="3" fillId="4" borderId="0" xfId="0" applyFont="1" applyFill="1" applyAlignment="1">
      <alignment horizontal="center" wrapText="1"/>
    </xf>
    <xf numFmtId="0" fontId="0" fillId="0" borderId="0" xfId="0" applyAlignment="1">
      <alignment wrapText="1"/>
    </xf>
    <xf numFmtId="0" fontId="0" fillId="3" borderId="0" xfId="0" applyFill="1" applyAlignment="1">
      <alignment wrapText="1"/>
    </xf>
    <xf numFmtId="0" fontId="0" fillId="5" borderId="0" xfId="0" applyFill="1"/>
    <xf numFmtId="0" fontId="0" fillId="0" borderId="0" xfId="0" applyAlignment="1">
      <alignment horizontal="center" wrapText="1"/>
    </xf>
    <xf numFmtId="0" fontId="0" fillId="3" borderId="1" xfId="0" applyFill="1" applyBorder="1"/>
    <xf numFmtId="0" fontId="0" fillId="5"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9455-9382-49C5-B393-E37B70D6D99A}">
  <dimension ref="A1:A18"/>
  <sheetViews>
    <sheetView tabSelected="1" workbookViewId="0">
      <selection activeCell="A10" sqref="A10"/>
    </sheetView>
  </sheetViews>
  <sheetFormatPr defaultRowHeight="15.6" x14ac:dyDescent="0.3"/>
  <cols>
    <col min="1" max="1" width="108.44140625" style="1" bestFit="1" customWidth="1"/>
  </cols>
  <sheetData>
    <row r="1" spans="1:1" x14ac:dyDescent="0.3">
      <c r="A1" s="1" t="s">
        <v>123</v>
      </c>
    </row>
    <row r="2" spans="1:1" x14ac:dyDescent="0.3">
      <c r="A2" s="1" t="s">
        <v>125</v>
      </c>
    </row>
    <row r="3" spans="1:1" x14ac:dyDescent="0.3">
      <c r="A3" s="1" t="s">
        <v>124</v>
      </c>
    </row>
    <row r="4" spans="1:1" x14ac:dyDescent="0.3">
      <c r="A4" s="1" t="s">
        <v>126</v>
      </c>
    </row>
    <row r="5" spans="1:1" x14ac:dyDescent="0.3">
      <c r="A5" s="3" t="s">
        <v>305</v>
      </c>
    </row>
    <row r="6" spans="1:1" x14ac:dyDescent="0.3">
      <c r="A6" s="1" t="s">
        <v>304</v>
      </c>
    </row>
    <row r="7" spans="1:1" x14ac:dyDescent="0.3">
      <c r="A7" s="1" t="s">
        <v>127</v>
      </c>
    </row>
    <row r="8" spans="1:1" x14ac:dyDescent="0.3">
      <c r="A8" s="3" t="s">
        <v>128</v>
      </c>
    </row>
    <row r="9" spans="1:1" x14ac:dyDescent="0.3">
      <c r="A9" s="1" t="s">
        <v>129</v>
      </c>
    </row>
    <row r="10" spans="1:1" x14ac:dyDescent="0.3">
      <c r="A10" s="3" t="s">
        <v>266</v>
      </c>
    </row>
    <row r="11" spans="1:1" x14ac:dyDescent="0.3">
      <c r="A11" s="1" t="s">
        <v>265</v>
      </c>
    </row>
    <row r="12" spans="1:1" ht="14.4" x14ac:dyDescent="0.3">
      <c r="A12" s="8" t="s">
        <v>316</v>
      </c>
    </row>
    <row r="13" spans="1:1" x14ac:dyDescent="0.3">
      <c r="A13" s="1" t="s">
        <v>317</v>
      </c>
    </row>
    <row r="14" spans="1:1" x14ac:dyDescent="0.3">
      <c r="A14" s="3" t="s">
        <v>327</v>
      </c>
    </row>
    <row r="15" spans="1:1" x14ac:dyDescent="0.3">
      <c r="A15" s="1" t="s">
        <v>318</v>
      </c>
    </row>
    <row r="18" spans="1:1" x14ac:dyDescent="0.3">
      <c r="A18" s="1" t="s">
        <v>392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4F5C-371B-4B50-8094-51A73536206D}">
  <dimension ref="A1:A101"/>
  <sheetViews>
    <sheetView workbookViewId="0">
      <selection activeCell="D17" sqref="D17"/>
    </sheetView>
  </sheetViews>
  <sheetFormatPr defaultRowHeight="15.6" x14ac:dyDescent="0.3"/>
  <cols>
    <col min="1" max="1" width="14" style="1" bestFit="1" customWidth="1"/>
  </cols>
  <sheetData>
    <row r="1" spans="1:1" x14ac:dyDescent="0.3">
      <c r="A1" s="2" t="s">
        <v>122</v>
      </c>
    </row>
    <row r="2" spans="1:1" x14ac:dyDescent="0.3">
      <c r="A2" s="3" t="s">
        <v>29</v>
      </c>
    </row>
    <row r="3" spans="1:1" x14ac:dyDescent="0.3">
      <c r="A3" s="3" t="s">
        <v>30</v>
      </c>
    </row>
    <row r="4" spans="1:1" x14ac:dyDescent="0.3">
      <c r="A4" s="1" t="s">
        <v>31</v>
      </c>
    </row>
    <row r="5" spans="1:1" x14ac:dyDescent="0.3">
      <c r="A5" s="1" t="s">
        <v>32</v>
      </c>
    </row>
    <row r="6" spans="1:1" x14ac:dyDescent="0.3">
      <c r="A6" s="1" t="s">
        <v>33</v>
      </c>
    </row>
    <row r="7" spans="1:1" x14ac:dyDescent="0.3">
      <c r="A7" s="1" t="s">
        <v>34</v>
      </c>
    </row>
    <row r="8" spans="1:1" x14ac:dyDescent="0.3">
      <c r="A8" s="1" t="s">
        <v>3</v>
      </c>
    </row>
    <row r="9" spans="1:1" x14ac:dyDescent="0.3">
      <c r="A9" s="1" t="s">
        <v>35</v>
      </c>
    </row>
    <row r="10" spans="1:1" x14ac:dyDescent="0.3">
      <c r="A10" s="1" t="s">
        <v>36</v>
      </c>
    </row>
    <row r="11" spans="1:1" x14ac:dyDescent="0.3">
      <c r="A11" s="1" t="s">
        <v>37</v>
      </c>
    </row>
    <row r="12" spans="1:1" x14ac:dyDescent="0.3">
      <c r="A12" s="1" t="s">
        <v>6</v>
      </c>
    </row>
    <row r="13" spans="1:1" x14ac:dyDescent="0.3">
      <c r="A13" s="1" t="s">
        <v>1</v>
      </c>
    </row>
    <row r="14" spans="1:1" x14ac:dyDescent="0.3">
      <c r="A14" s="1" t="s">
        <v>38</v>
      </c>
    </row>
    <row r="15" spans="1:1" x14ac:dyDescent="0.3">
      <c r="A15" s="1" t="s">
        <v>39</v>
      </c>
    </row>
    <row r="16" spans="1:1" x14ac:dyDescent="0.3">
      <c r="A16" s="1" t="s">
        <v>40</v>
      </c>
    </row>
    <row r="17" spans="1:1" x14ac:dyDescent="0.3">
      <c r="A17" s="1" t="s">
        <v>41</v>
      </c>
    </row>
    <row r="18" spans="1:1" x14ac:dyDescent="0.3">
      <c r="A18" s="1" t="s">
        <v>42</v>
      </c>
    </row>
    <row r="19" spans="1:1" x14ac:dyDescent="0.3">
      <c r="A19" s="1" t="s">
        <v>5</v>
      </c>
    </row>
    <row r="20" spans="1:1" x14ac:dyDescent="0.3">
      <c r="A20" s="3" t="s">
        <v>43</v>
      </c>
    </row>
    <row r="21" spans="1:1" x14ac:dyDescent="0.3">
      <c r="A21" s="1" t="s">
        <v>4</v>
      </c>
    </row>
    <row r="22" spans="1:1" x14ac:dyDescent="0.3">
      <c r="A22" s="1" t="s">
        <v>44</v>
      </c>
    </row>
    <row r="23" spans="1:1" x14ac:dyDescent="0.3">
      <c r="A23" s="1" t="s">
        <v>45</v>
      </c>
    </row>
    <row r="24" spans="1:1" x14ac:dyDescent="0.3">
      <c r="A24" s="1" t="s">
        <v>46</v>
      </c>
    </row>
    <row r="25" spans="1:1" x14ac:dyDescent="0.3">
      <c r="A25" s="1" t="s">
        <v>47</v>
      </c>
    </row>
    <row r="26" spans="1:1" x14ac:dyDescent="0.3">
      <c r="A26" s="1" t="s">
        <v>48</v>
      </c>
    </row>
    <row r="27" spans="1:1" x14ac:dyDescent="0.3">
      <c r="A27" s="3" t="s">
        <v>49</v>
      </c>
    </row>
    <row r="28" spans="1:1" x14ac:dyDescent="0.3">
      <c r="A28" s="1" t="s">
        <v>50</v>
      </c>
    </row>
    <row r="29" spans="1:1" x14ac:dyDescent="0.3">
      <c r="A29" s="1" t="s">
        <v>51</v>
      </c>
    </row>
    <row r="30" spans="1:1" x14ac:dyDescent="0.3">
      <c r="A30" s="1" t="s">
        <v>52</v>
      </c>
    </row>
    <row r="31" spans="1:1" x14ac:dyDescent="0.3">
      <c r="A31" s="1" t="s">
        <v>53</v>
      </c>
    </row>
    <row r="32" spans="1:1" x14ac:dyDescent="0.3">
      <c r="A32" s="1" t="s">
        <v>54</v>
      </c>
    </row>
    <row r="33" spans="1:1" x14ac:dyDescent="0.3">
      <c r="A33" s="1" t="s">
        <v>55</v>
      </c>
    </row>
    <row r="34" spans="1:1" x14ac:dyDescent="0.3">
      <c r="A34" s="1" t="s">
        <v>56</v>
      </c>
    </row>
    <row r="35" spans="1:1" x14ac:dyDescent="0.3">
      <c r="A35" s="1" t="s">
        <v>57</v>
      </c>
    </row>
    <row r="36" spans="1:1" x14ac:dyDescent="0.3">
      <c r="A36" s="1" t="s">
        <v>58</v>
      </c>
    </row>
    <row r="37" spans="1:1" x14ac:dyDescent="0.3">
      <c r="A37" s="1" t="s">
        <v>59</v>
      </c>
    </row>
    <row r="38" spans="1:1" x14ac:dyDescent="0.3">
      <c r="A38" s="1" t="s">
        <v>60</v>
      </c>
    </row>
    <row r="39" spans="1:1" x14ac:dyDescent="0.3">
      <c r="A39" s="1" t="s">
        <v>61</v>
      </c>
    </row>
    <row r="40" spans="1:1" x14ac:dyDescent="0.3">
      <c r="A40" s="1" t="s">
        <v>62</v>
      </c>
    </row>
    <row r="41" spans="1:1" x14ac:dyDescent="0.3">
      <c r="A41" s="1" t="s">
        <v>63</v>
      </c>
    </row>
    <row r="42" spans="1:1" x14ac:dyDescent="0.3">
      <c r="A42" s="1" t="s">
        <v>64</v>
      </c>
    </row>
    <row r="43" spans="1:1" x14ac:dyDescent="0.3">
      <c r="A43" s="1" t="s">
        <v>65</v>
      </c>
    </row>
    <row r="44" spans="1:1" x14ac:dyDescent="0.3">
      <c r="A44" s="1" t="s">
        <v>66</v>
      </c>
    </row>
    <row r="45" spans="1:1" x14ac:dyDescent="0.3">
      <c r="A45" s="1" t="s">
        <v>67</v>
      </c>
    </row>
    <row r="46" spans="1:1" x14ac:dyDescent="0.3">
      <c r="A46" s="1" t="s">
        <v>68</v>
      </c>
    </row>
    <row r="47" spans="1:1" x14ac:dyDescent="0.3">
      <c r="A47" s="1" t="s">
        <v>69</v>
      </c>
    </row>
    <row r="48" spans="1:1" x14ac:dyDescent="0.3">
      <c r="A48" s="1" t="s">
        <v>2</v>
      </c>
    </row>
    <row r="49" spans="1:1" x14ac:dyDescent="0.3">
      <c r="A49" s="1" t="s">
        <v>70</v>
      </c>
    </row>
    <row r="50" spans="1:1" x14ac:dyDescent="0.3">
      <c r="A50" s="1" t="s">
        <v>71</v>
      </c>
    </row>
    <row r="51" spans="1:1" x14ac:dyDescent="0.3">
      <c r="A51" s="1" t="s">
        <v>72</v>
      </c>
    </row>
    <row r="52" spans="1:1" x14ac:dyDescent="0.3">
      <c r="A52" s="1" t="s">
        <v>73</v>
      </c>
    </row>
    <row r="53" spans="1:1" x14ac:dyDescent="0.3">
      <c r="A53" s="1" t="s">
        <v>74</v>
      </c>
    </row>
    <row r="54" spans="1:1" x14ac:dyDescent="0.3">
      <c r="A54" s="1" t="s">
        <v>75</v>
      </c>
    </row>
    <row r="55" spans="1:1" x14ac:dyDescent="0.3">
      <c r="A55" s="1" t="s">
        <v>76</v>
      </c>
    </row>
    <row r="56" spans="1:1" x14ac:dyDescent="0.3">
      <c r="A56" s="1" t="s">
        <v>77</v>
      </c>
    </row>
    <row r="57" spans="1:1" x14ac:dyDescent="0.3">
      <c r="A57" s="1" t="s">
        <v>78</v>
      </c>
    </row>
    <row r="58" spans="1:1" x14ac:dyDescent="0.3">
      <c r="A58" s="1" t="s">
        <v>79</v>
      </c>
    </row>
    <row r="59" spans="1:1" x14ac:dyDescent="0.3">
      <c r="A59" s="1" t="s">
        <v>80</v>
      </c>
    </row>
    <row r="60" spans="1:1" x14ac:dyDescent="0.3">
      <c r="A60" s="1" t="s">
        <v>81</v>
      </c>
    </row>
    <row r="61" spans="1:1" x14ac:dyDescent="0.3">
      <c r="A61" s="1" t="s">
        <v>82</v>
      </c>
    </row>
    <row r="62" spans="1:1" x14ac:dyDescent="0.3">
      <c r="A62" s="1" t="s">
        <v>83</v>
      </c>
    </row>
    <row r="63" spans="1:1" x14ac:dyDescent="0.3">
      <c r="A63" s="1" t="s">
        <v>84</v>
      </c>
    </row>
    <row r="64" spans="1:1" x14ac:dyDescent="0.3">
      <c r="A64" s="1" t="s">
        <v>85</v>
      </c>
    </row>
    <row r="65" spans="1:1" x14ac:dyDescent="0.3">
      <c r="A65" s="1" t="s">
        <v>86</v>
      </c>
    </row>
    <row r="66" spans="1:1" x14ac:dyDescent="0.3">
      <c r="A66" s="1" t="s">
        <v>87</v>
      </c>
    </row>
    <row r="67" spans="1:1" x14ac:dyDescent="0.3">
      <c r="A67" s="1" t="s">
        <v>88</v>
      </c>
    </row>
    <row r="68" spans="1:1" x14ac:dyDescent="0.3">
      <c r="A68" s="1" t="s">
        <v>89</v>
      </c>
    </row>
    <row r="69" spans="1:1" x14ac:dyDescent="0.3">
      <c r="A69" s="1" t="s">
        <v>90</v>
      </c>
    </row>
    <row r="70" spans="1:1" x14ac:dyDescent="0.3">
      <c r="A70" s="1" t="s">
        <v>91</v>
      </c>
    </row>
    <row r="71" spans="1:1" x14ac:dyDescent="0.3">
      <c r="A71" s="1" t="s">
        <v>92</v>
      </c>
    </row>
    <row r="72" spans="1:1" x14ac:dyDescent="0.3">
      <c r="A72" s="1" t="s">
        <v>93</v>
      </c>
    </row>
    <row r="73" spans="1:1" x14ac:dyDescent="0.3">
      <c r="A73" s="1" t="s">
        <v>94</v>
      </c>
    </row>
    <row r="74" spans="1:1" x14ac:dyDescent="0.3">
      <c r="A74" s="1" t="s">
        <v>95</v>
      </c>
    </row>
    <row r="75" spans="1:1" x14ac:dyDescent="0.3">
      <c r="A75" s="1" t="s">
        <v>96</v>
      </c>
    </row>
    <row r="76" spans="1:1" x14ac:dyDescent="0.3">
      <c r="A76" s="1" t="s">
        <v>97</v>
      </c>
    </row>
    <row r="77" spans="1:1" x14ac:dyDescent="0.3">
      <c r="A77" s="1" t="s">
        <v>98</v>
      </c>
    </row>
    <row r="78" spans="1:1" x14ac:dyDescent="0.3">
      <c r="A78" s="1" t="s">
        <v>99</v>
      </c>
    </row>
    <row r="79" spans="1:1" x14ac:dyDescent="0.3">
      <c r="A79" s="1" t="s">
        <v>100</v>
      </c>
    </row>
    <row r="80" spans="1:1" x14ac:dyDescent="0.3">
      <c r="A80" s="1" t="s">
        <v>101</v>
      </c>
    </row>
    <row r="81" spans="1:1" x14ac:dyDescent="0.3">
      <c r="A81" s="1" t="s">
        <v>102</v>
      </c>
    </row>
    <row r="82" spans="1:1" x14ac:dyDescent="0.3">
      <c r="A82" s="1" t="s">
        <v>103</v>
      </c>
    </row>
    <row r="83" spans="1:1" x14ac:dyDescent="0.3">
      <c r="A83" s="1" t="s">
        <v>104</v>
      </c>
    </row>
    <row r="84" spans="1:1" x14ac:dyDescent="0.3">
      <c r="A84" s="1" t="s">
        <v>105</v>
      </c>
    </row>
    <row r="85" spans="1:1" x14ac:dyDescent="0.3">
      <c r="A85" s="1" t="s">
        <v>106</v>
      </c>
    </row>
    <row r="86" spans="1:1" x14ac:dyDescent="0.3">
      <c r="A86" s="1" t="s">
        <v>107</v>
      </c>
    </row>
    <row r="87" spans="1:1" x14ac:dyDescent="0.3">
      <c r="A87" s="1" t="s">
        <v>7</v>
      </c>
    </row>
    <row r="88" spans="1:1" x14ac:dyDescent="0.3">
      <c r="A88" s="1" t="s">
        <v>108</v>
      </c>
    </row>
    <row r="89" spans="1:1" x14ac:dyDescent="0.3">
      <c r="A89" s="1" t="s">
        <v>109</v>
      </c>
    </row>
    <row r="90" spans="1:1" x14ac:dyDescent="0.3">
      <c r="A90" s="1" t="s">
        <v>110</v>
      </c>
    </row>
    <row r="91" spans="1:1" x14ac:dyDescent="0.3">
      <c r="A91" s="1" t="s">
        <v>111</v>
      </c>
    </row>
    <row r="92" spans="1:1" x14ac:dyDescent="0.3">
      <c r="A92" s="1" t="s">
        <v>112</v>
      </c>
    </row>
    <row r="93" spans="1:1" x14ac:dyDescent="0.3">
      <c r="A93" s="1" t="s">
        <v>113</v>
      </c>
    </row>
    <row r="94" spans="1:1" x14ac:dyDescent="0.3">
      <c r="A94" s="1" t="s">
        <v>114</v>
      </c>
    </row>
    <row r="95" spans="1:1" x14ac:dyDescent="0.3">
      <c r="A95" s="1" t="s">
        <v>115</v>
      </c>
    </row>
    <row r="96" spans="1:1" x14ac:dyDescent="0.3">
      <c r="A96" s="1" t="s">
        <v>116</v>
      </c>
    </row>
    <row r="97" spans="1:1" x14ac:dyDescent="0.3">
      <c r="A97" s="1" t="s">
        <v>117</v>
      </c>
    </row>
    <row r="98" spans="1:1" x14ac:dyDescent="0.3">
      <c r="A98" s="1" t="s">
        <v>118</v>
      </c>
    </row>
    <row r="99" spans="1:1" x14ac:dyDescent="0.3">
      <c r="A99" s="1" t="s">
        <v>119</v>
      </c>
    </row>
    <row r="100" spans="1:1" x14ac:dyDescent="0.3">
      <c r="A100" s="1" t="s">
        <v>120</v>
      </c>
    </row>
    <row r="101" spans="1:1" x14ac:dyDescent="0.3">
      <c r="A101" s="1"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8235-691B-4CC0-AAB4-DD162F0EAA3F}">
  <dimension ref="A1:B21"/>
  <sheetViews>
    <sheetView workbookViewId="0">
      <selection activeCell="B16" sqref="B16"/>
    </sheetView>
  </sheetViews>
  <sheetFormatPr defaultRowHeight="14.4" x14ac:dyDescent="0.3"/>
  <cols>
    <col min="1" max="1" width="15.109375" bestFit="1" customWidth="1"/>
    <col min="2" max="2" width="29.44140625" customWidth="1"/>
  </cols>
  <sheetData>
    <row r="1" spans="1:2" ht="15.6" x14ac:dyDescent="0.3">
      <c r="A1" s="2" t="s">
        <v>28</v>
      </c>
      <c r="B1" s="2" t="s">
        <v>250</v>
      </c>
    </row>
    <row r="2" spans="1:2" ht="15.6" x14ac:dyDescent="0.3">
      <c r="A2" s="3" t="s">
        <v>9</v>
      </c>
    </row>
    <row r="3" spans="1:2" ht="15.6" x14ac:dyDescent="0.3">
      <c r="A3" s="3" t="s">
        <v>10</v>
      </c>
    </row>
    <row r="4" spans="1:2" ht="15.6" x14ac:dyDescent="0.3">
      <c r="A4" s="3" t="s">
        <v>11</v>
      </c>
    </row>
    <row r="5" spans="1:2" ht="15.6" x14ac:dyDescent="0.3">
      <c r="A5" s="3" t="s">
        <v>12</v>
      </c>
    </row>
    <row r="6" spans="1:2" ht="15.6" x14ac:dyDescent="0.3">
      <c r="A6" s="3" t="s">
        <v>13</v>
      </c>
    </row>
    <row r="7" spans="1:2" ht="15.6" x14ac:dyDescent="0.3">
      <c r="A7" s="3" t="s">
        <v>14</v>
      </c>
    </row>
    <row r="8" spans="1:2" ht="15.6" x14ac:dyDescent="0.3">
      <c r="A8" s="3" t="s">
        <v>15</v>
      </c>
    </row>
    <row r="9" spans="1:2" ht="15.6" x14ac:dyDescent="0.3">
      <c r="A9" s="3" t="s">
        <v>16</v>
      </c>
    </row>
    <row r="10" spans="1:2" ht="15.6" x14ac:dyDescent="0.3">
      <c r="A10" s="3" t="s">
        <v>17</v>
      </c>
    </row>
    <row r="11" spans="1:2" ht="15.6" x14ac:dyDescent="0.3">
      <c r="A11" s="3" t="s">
        <v>18</v>
      </c>
    </row>
    <row r="12" spans="1:2" ht="15.6" x14ac:dyDescent="0.3">
      <c r="A12" s="3" t="s">
        <v>19</v>
      </c>
    </row>
    <row r="13" spans="1:2" ht="15.6" x14ac:dyDescent="0.3">
      <c r="A13" s="3" t="s">
        <v>20</v>
      </c>
    </row>
    <row r="14" spans="1:2" ht="15.6" x14ac:dyDescent="0.3">
      <c r="A14" s="3" t="s">
        <v>21</v>
      </c>
    </row>
    <row r="15" spans="1:2" ht="15.6" x14ac:dyDescent="0.3">
      <c r="A15" s="3" t="s">
        <v>296</v>
      </c>
    </row>
    <row r="16" spans="1:2" ht="15.6" x14ac:dyDescent="0.3">
      <c r="A16" s="3" t="s">
        <v>22</v>
      </c>
    </row>
    <row r="17" spans="1:1" ht="15.6" x14ac:dyDescent="0.3">
      <c r="A17" s="3" t="s">
        <v>23</v>
      </c>
    </row>
    <row r="18" spans="1:1" ht="15.6" x14ac:dyDescent="0.3">
      <c r="A18" s="3" t="s">
        <v>24</v>
      </c>
    </row>
    <row r="19" spans="1:1" ht="15.6" x14ac:dyDescent="0.3">
      <c r="A19" s="3" t="s">
        <v>25</v>
      </c>
    </row>
    <row r="20" spans="1:1" ht="15.6" x14ac:dyDescent="0.3">
      <c r="A20" s="3" t="s">
        <v>26</v>
      </c>
    </row>
    <row r="21" spans="1:1" ht="15.6" x14ac:dyDescent="0.3">
      <c r="A21" s="3"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B62F-E2D3-4D00-ACEE-B088AA598477}">
  <dimension ref="A1:F51"/>
  <sheetViews>
    <sheetView workbookViewId="0">
      <selection activeCell="H50" sqref="H50"/>
    </sheetView>
  </sheetViews>
  <sheetFormatPr defaultRowHeight="14.4" x14ac:dyDescent="0.3"/>
  <cols>
    <col min="1" max="1" width="17.44140625" bestFit="1" customWidth="1"/>
    <col min="2" max="2" width="19" bestFit="1" customWidth="1"/>
    <col min="3" max="3" width="22.6640625" bestFit="1" customWidth="1"/>
    <col min="4" max="4" width="17.77734375" bestFit="1" customWidth="1"/>
    <col min="5" max="5" width="10.5546875" bestFit="1" customWidth="1"/>
  </cols>
  <sheetData>
    <row r="1" spans="1:6" s="5" customFormat="1" x14ac:dyDescent="0.3">
      <c r="A1" s="4" t="s">
        <v>8</v>
      </c>
      <c r="B1" s="4" t="s">
        <v>178</v>
      </c>
      <c r="C1" s="4" t="s">
        <v>179</v>
      </c>
      <c r="D1" s="4" t="s">
        <v>267</v>
      </c>
      <c r="E1" s="4" t="s">
        <v>309</v>
      </c>
      <c r="F1" s="4" t="s">
        <v>314</v>
      </c>
    </row>
    <row r="2" spans="1:6" x14ac:dyDescent="0.3">
      <c r="A2" s="6" t="s">
        <v>229</v>
      </c>
      <c r="B2" s="6" t="s">
        <v>147</v>
      </c>
      <c r="C2" s="6" t="s">
        <v>230</v>
      </c>
      <c r="D2" s="6"/>
      <c r="E2" t="s">
        <v>310</v>
      </c>
      <c r="F2">
        <f t="shared" ref="F2:F33" si="0">IF(E2="Common",1,IF(E2="Uncommon",2,IF(E2="Rare",3,IF(E2="Legendary",4,IF(E2="Unique",5,"")))))</f>
        <v>1</v>
      </c>
    </row>
    <row r="3" spans="1:6" x14ac:dyDescent="0.3">
      <c r="A3" s="6" t="s">
        <v>176</v>
      </c>
      <c r="B3" s="6" t="s">
        <v>387</v>
      </c>
      <c r="C3" s="6" t="s">
        <v>159</v>
      </c>
      <c r="D3" s="10"/>
      <c r="E3" t="s">
        <v>310</v>
      </c>
      <c r="F3">
        <f t="shared" si="0"/>
        <v>1</v>
      </c>
    </row>
    <row r="4" spans="1:6" x14ac:dyDescent="0.3">
      <c r="A4" s="6" t="s">
        <v>173</v>
      </c>
      <c r="B4" s="6" t="s">
        <v>239</v>
      </c>
      <c r="C4" s="6" t="s">
        <v>157</v>
      </c>
      <c r="D4" s="10"/>
      <c r="E4" t="s">
        <v>310</v>
      </c>
      <c r="F4">
        <f t="shared" si="0"/>
        <v>1</v>
      </c>
    </row>
    <row r="5" spans="1:6" x14ac:dyDescent="0.3">
      <c r="A5" s="6" t="s">
        <v>219</v>
      </c>
      <c r="B5" s="6" t="s">
        <v>143</v>
      </c>
      <c r="C5" s="6" t="s">
        <v>220</v>
      </c>
      <c r="D5" s="10"/>
      <c r="E5" t="s">
        <v>310</v>
      </c>
      <c r="F5">
        <f t="shared" si="0"/>
        <v>1</v>
      </c>
    </row>
    <row r="6" spans="1:6" ht="15" thickBot="1" x14ac:dyDescent="0.35">
      <c r="A6" s="6" t="s">
        <v>225</v>
      </c>
      <c r="B6" s="6" t="s">
        <v>145</v>
      </c>
      <c r="C6" s="6" t="s">
        <v>226</v>
      </c>
      <c r="D6" s="10"/>
      <c r="E6" t="s">
        <v>310</v>
      </c>
      <c r="F6">
        <f t="shared" si="0"/>
        <v>1</v>
      </c>
    </row>
    <row r="7" spans="1:6" ht="15" thickBot="1" x14ac:dyDescent="0.35">
      <c r="A7" s="12" t="s">
        <v>197</v>
      </c>
      <c r="B7" s="6" t="s">
        <v>132</v>
      </c>
      <c r="C7" s="6" t="s">
        <v>132</v>
      </c>
      <c r="D7" s="10"/>
      <c r="E7" t="s">
        <v>310</v>
      </c>
      <c r="F7">
        <f t="shared" si="0"/>
        <v>1</v>
      </c>
    </row>
    <row r="8" spans="1:6" x14ac:dyDescent="0.3">
      <c r="A8" s="6" t="s">
        <v>171</v>
      </c>
      <c r="B8" s="6" t="s">
        <v>134</v>
      </c>
      <c r="C8" s="6" t="s">
        <v>161</v>
      </c>
      <c r="D8" s="10"/>
      <c r="E8" t="s">
        <v>310</v>
      </c>
      <c r="F8">
        <f t="shared" si="0"/>
        <v>1</v>
      </c>
    </row>
    <row r="9" spans="1:6" x14ac:dyDescent="0.3">
      <c r="A9" s="6" t="s">
        <v>164</v>
      </c>
      <c r="B9" s="6" t="s">
        <v>149</v>
      </c>
      <c r="C9" s="6" t="s">
        <v>306</v>
      </c>
      <c r="D9" s="10"/>
      <c r="E9" t="s">
        <v>310</v>
      </c>
      <c r="F9">
        <f t="shared" si="0"/>
        <v>1</v>
      </c>
    </row>
    <row r="10" spans="1:6" x14ac:dyDescent="0.3">
      <c r="A10" s="6" t="s">
        <v>172</v>
      </c>
      <c r="B10" s="6" t="s">
        <v>241</v>
      </c>
      <c r="C10" s="6" t="s">
        <v>162</v>
      </c>
      <c r="D10" s="10"/>
      <c r="E10" t="s">
        <v>310</v>
      </c>
      <c r="F10">
        <f t="shared" si="0"/>
        <v>1</v>
      </c>
    </row>
    <row r="11" spans="1:6" x14ac:dyDescent="0.3">
      <c r="A11" s="6" t="s">
        <v>0</v>
      </c>
      <c r="B11" s="6" t="s">
        <v>248</v>
      </c>
      <c r="C11" s="6" t="s">
        <v>131</v>
      </c>
      <c r="D11" s="6"/>
      <c r="E11" t="s">
        <v>310</v>
      </c>
      <c r="F11">
        <f t="shared" si="0"/>
        <v>1</v>
      </c>
    </row>
    <row r="12" spans="1:6" ht="15" thickBot="1" x14ac:dyDescent="0.35">
      <c r="A12" s="6" t="s">
        <v>180</v>
      </c>
      <c r="B12" s="6" t="s">
        <v>249</v>
      </c>
      <c r="C12" s="6" t="s">
        <v>181</v>
      </c>
      <c r="D12" s="6"/>
      <c r="E12" t="s">
        <v>310</v>
      </c>
      <c r="F12">
        <f t="shared" si="0"/>
        <v>1</v>
      </c>
    </row>
    <row r="13" spans="1:6" ht="15" thickBot="1" x14ac:dyDescent="0.35">
      <c r="A13" s="12" t="s">
        <v>208</v>
      </c>
      <c r="B13" s="6" t="s">
        <v>243</v>
      </c>
      <c r="C13" s="6" t="s">
        <v>209</v>
      </c>
      <c r="D13" s="6"/>
      <c r="E13" t="s">
        <v>310</v>
      </c>
      <c r="F13">
        <f t="shared" si="0"/>
        <v>1</v>
      </c>
    </row>
    <row r="14" spans="1:6" x14ac:dyDescent="0.3">
      <c r="A14" s="6" t="s">
        <v>227</v>
      </c>
      <c r="B14" s="6" t="s">
        <v>228</v>
      </c>
      <c r="C14" s="6" t="s">
        <v>228</v>
      </c>
      <c r="D14" s="6"/>
      <c r="E14" t="s">
        <v>310</v>
      </c>
      <c r="F14">
        <f t="shared" si="0"/>
        <v>1</v>
      </c>
    </row>
    <row r="15" spans="1:6" ht="15" thickBot="1" x14ac:dyDescent="0.35">
      <c r="A15" s="6" t="s">
        <v>170</v>
      </c>
      <c r="B15" s="6" t="s">
        <v>158</v>
      </c>
      <c r="C15" s="6" t="s">
        <v>158</v>
      </c>
      <c r="D15" s="10"/>
      <c r="E15" t="s">
        <v>310</v>
      </c>
      <c r="F15">
        <f t="shared" si="0"/>
        <v>1</v>
      </c>
    </row>
    <row r="16" spans="1:6" ht="15" thickBot="1" x14ac:dyDescent="0.35">
      <c r="A16" s="12" t="s">
        <v>184</v>
      </c>
      <c r="B16" s="6" t="s">
        <v>247</v>
      </c>
      <c r="C16" s="6" t="s">
        <v>133</v>
      </c>
      <c r="D16" s="6"/>
      <c r="E16" t="s">
        <v>310</v>
      </c>
      <c r="F16">
        <f t="shared" si="0"/>
        <v>1</v>
      </c>
    </row>
    <row r="17" spans="1:6" ht="15" thickBot="1" x14ac:dyDescent="0.35">
      <c r="A17" s="12" t="s">
        <v>182</v>
      </c>
      <c r="B17" s="6" t="s">
        <v>130</v>
      </c>
      <c r="C17" s="6" t="s">
        <v>183</v>
      </c>
      <c r="D17" s="6"/>
      <c r="E17" t="s">
        <v>310</v>
      </c>
      <c r="F17">
        <f t="shared" si="0"/>
        <v>1</v>
      </c>
    </row>
    <row r="18" spans="1:6" ht="15" thickBot="1" x14ac:dyDescent="0.35">
      <c r="A18" s="12" t="s">
        <v>185</v>
      </c>
      <c r="B18" s="6" t="s">
        <v>186</v>
      </c>
      <c r="C18" s="6" t="s">
        <v>187</v>
      </c>
      <c r="D18" s="6"/>
      <c r="E18" t="s">
        <v>310</v>
      </c>
      <c r="F18">
        <f t="shared" si="0"/>
        <v>1</v>
      </c>
    </row>
    <row r="19" spans="1:6" x14ac:dyDescent="0.3">
      <c r="A19" s="6" t="s">
        <v>203</v>
      </c>
      <c r="B19" s="6" t="s">
        <v>139</v>
      </c>
      <c r="C19" s="6" t="s">
        <v>139</v>
      </c>
      <c r="D19" s="6"/>
      <c r="E19" t="s">
        <v>310</v>
      </c>
      <c r="F19">
        <f t="shared" si="0"/>
        <v>1</v>
      </c>
    </row>
    <row r="20" spans="1:6" x14ac:dyDescent="0.3">
      <c r="A20" s="6" t="s">
        <v>165</v>
      </c>
      <c r="B20" s="6" t="s">
        <v>155</v>
      </c>
      <c r="C20" s="6" t="s">
        <v>167</v>
      </c>
      <c r="D20" s="10"/>
      <c r="E20" t="s">
        <v>310</v>
      </c>
      <c r="F20">
        <f t="shared" si="0"/>
        <v>1</v>
      </c>
    </row>
    <row r="21" spans="1:6" x14ac:dyDescent="0.3">
      <c r="A21" s="6" t="s">
        <v>233</v>
      </c>
      <c r="B21" s="6" t="s">
        <v>150</v>
      </c>
      <c r="C21" s="6" t="s">
        <v>234</v>
      </c>
      <c r="D21" s="10"/>
      <c r="E21" t="s">
        <v>310</v>
      </c>
      <c r="F21">
        <f t="shared" si="0"/>
        <v>1</v>
      </c>
    </row>
    <row r="22" spans="1:6" x14ac:dyDescent="0.3">
      <c r="A22" s="6" t="s">
        <v>261</v>
      </c>
      <c r="B22" s="6" t="s">
        <v>262</v>
      </c>
      <c r="C22" s="6" t="s">
        <v>263</v>
      </c>
      <c r="D22" s="10"/>
      <c r="E22" t="s">
        <v>313</v>
      </c>
      <c r="F22">
        <f t="shared" si="0"/>
        <v>2</v>
      </c>
    </row>
    <row r="23" spans="1:6" x14ac:dyDescent="0.3">
      <c r="A23" s="6" t="s">
        <v>193</v>
      </c>
      <c r="B23" s="6" t="s">
        <v>136</v>
      </c>
      <c r="C23" s="6" t="s">
        <v>194</v>
      </c>
      <c r="D23" s="6"/>
      <c r="E23" t="s">
        <v>313</v>
      </c>
      <c r="F23">
        <f t="shared" si="0"/>
        <v>2</v>
      </c>
    </row>
    <row r="24" spans="1:6" x14ac:dyDescent="0.3">
      <c r="A24" s="6" t="s">
        <v>175</v>
      </c>
      <c r="B24" s="6" t="s">
        <v>154</v>
      </c>
      <c r="C24" s="6" t="s">
        <v>166</v>
      </c>
      <c r="D24" s="6"/>
      <c r="E24" t="s">
        <v>313</v>
      </c>
      <c r="F24">
        <f t="shared" si="0"/>
        <v>2</v>
      </c>
    </row>
    <row r="25" spans="1:6" x14ac:dyDescent="0.3">
      <c r="A25" s="6" t="s">
        <v>215</v>
      </c>
      <c r="B25" s="6" t="s">
        <v>142</v>
      </c>
      <c r="C25" s="6" t="s">
        <v>216</v>
      </c>
      <c r="D25" s="10"/>
      <c r="E25" t="s">
        <v>313</v>
      </c>
      <c r="F25">
        <f t="shared" si="0"/>
        <v>2</v>
      </c>
    </row>
    <row r="26" spans="1:6" x14ac:dyDescent="0.3">
      <c r="A26" s="6" t="s">
        <v>212</v>
      </c>
      <c r="B26" s="6" t="s">
        <v>213</v>
      </c>
      <c r="C26" s="6" t="s">
        <v>199</v>
      </c>
      <c r="D26" s="10"/>
      <c r="E26" t="s">
        <v>313</v>
      </c>
      <c r="F26">
        <f t="shared" si="0"/>
        <v>2</v>
      </c>
    </row>
    <row r="27" spans="1:6" x14ac:dyDescent="0.3">
      <c r="A27" s="6" t="s">
        <v>210</v>
      </c>
      <c r="B27" s="6" t="s">
        <v>242</v>
      </c>
      <c r="C27" s="6" t="s">
        <v>211</v>
      </c>
      <c r="D27" s="10"/>
      <c r="E27" t="s">
        <v>313</v>
      </c>
      <c r="F27">
        <f t="shared" si="0"/>
        <v>2</v>
      </c>
    </row>
    <row r="28" spans="1:6" x14ac:dyDescent="0.3">
      <c r="A28" s="6" t="s">
        <v>198</v>
      </c>
      <c r="B28" s="6" t="s">
        <v>138</v>
      </c>
      <c r="C28" s="6" t="s">
        <v>251</v>
      </c>
      <c r="D28" s="6"/>
      <c r="E28" t="s">
        <v>313</v>
      </c>
      <c r="F28">
        <f t="shared" si="0"/>
        <v>2</v>
      </c>
    </row>
    <row r="29" spans="1:6" x14ac:dyDescent="0.3">
      <c r="A29" s="6" t="s">
        <v>221</v>
      </c>
      <c r="B29" s="6" t="s">
        <v>144</v>
      </c>
      <c r="C29" s="6" t="s">
        <v>144</v>
      </c>
      <c r="D29" s="10"/>
      <c r="E29" t="s">
        <v>313</v>
      </c>
      <c r="F29">
        <f t="shared" si="0"/>
        <v>2</v>
      </c>
    </row>
    <row r="30" spans="1:6" x14ac:dyDescent="0.3">
      <c r="A30" s="6" t="s">
        <v>174</v>
      </c>
      <c r="B30" s="6" t="s">
        <v>240</v>
      </c>
      <c r="C30" s="6" t="s">
        <v>163</v>
      </c>
      <c r="D30" s="6"/>
      <c r="E30" t="s">
        <v>313</v>
      </c>
      <c r="F30">
        <f t="shared" si="0"/>
        <v>2</v>
      </c>
    </row>
    <row r="31" spans="1:6" x14ac:dyDescent="0.3">
      <c r="A31" s="6" t="s">
        <v>235</v>
      </c>
      <c r="B31" s="6" t="s">
        <v>151</v>
      </c>
      <c r="C31" s="6" t="s">
        <v>236</v>
      </c>
      <c r="D31" s="10"/>
      <c r="E31" t="s">
        <v>313</v>
      </c>
      <c r="F31">
        <f t="shared" si="0"/>
        <v>2</v>
      </c>
    </row>
    <row r="32" spans="1:6" x14ac:dyDescent="0.3">
      <c r="A32" s="6" t="s">
        <v>195</v>
      </c>
      <c r="B32" s="6" t="s">
        <v>137</v>
      </c>
      <c r="C32" s="6" t="s">
        <v>196</v>
      </c>
      <c r="D32" s="10"/>
      <c r="E32" t="s">
        <v>313</v>
      </c>
      <c r="F32">
        <f t="shared" si="0"/>
        <v>2</v>
      </c>
    </row>
    <row r="33" spans="1:6" x14ac:dyDescent="0.3">
      <c r="A33" s="6" t="s">
        <v>168</v>
      </c>
      <c r="B33" s="6" t="s">
        <v>152</v>
      </c>
      <c r="C33" s="6" t="s">
        <v>253</v>
      </c>
      <c r="D33" s="6"/>
      <c r="E33" t="s">
        <v>313</v>
      </c>
      <c r="F33">
        <f t="shared" si="0"/>
        <v>2</v>
      </c>
    </row>
    <row r="34" spans="1:6" x14ac:dyDescent="0.3">
      <c r="A34" s="6" t="s">
        <v>231</v>
      </c>
      <c r="B34" s="6" t="s">
        <v>148</v>
      </c>
      <c r="C34" s="6" t="s">
        <v>232</v>
      </c>
      <c r="D34" s="10"/>
      <c r="E34" t="s">
        <v>313</v>
      </c>
      <c r="F34">
        <f t="shared" ref="F34:F51" si="1">IF(E34="Common",1,IF(E34="Uncommon",2,IF(E34="Rare",3,IF(E34="Legendary",4,IF(E34="Unique",5,"")))))</f>
        <v>2</v>
      </c>
    </row>
    <row r="35" spans="1:6" x14ac:dyDescent="0.3">
      <c r="A35" s="6" t="s">
        <v>206</v>
      </c>
      <c r="B35" s="6" t="s">
        <v>140</v>
      </c>
      <c r="C35" s="6" t="s">
        <v>207</v>
      </c>
      <c r="D35" s="10"/>
      <c r="E35" t="s">
        <v>313</v>
      </c>
      <c r="F35">
        <f t="shared" si="1"/>
        <v>2</v>
      </c>
    </row>
    <row r="36" spans="1:6" x14ac:dyDescent="0.3">
      <c r="A36" s="6" t="s">
        <v>224</v>
      </c>
      <c r="B36" s="6" t="s">
        <v>146</v>
      </c>
      <c r="C36" s="6" t="s">
        <v>252</v>
      </c>
      <c r="D36" s="6"/>
      <c r="E36" t="s">
        <v>313</v>
      </c>
      <c r="F36">
        <f t="shared" si="1"/>
        <v>2</v>
      </c>
    </row>
    <row r="37" spans="1:6" x14ac:dyDescent="0.3">
      <c r="A37" s="6" t="s">
        <v>204</v>
      </c>
      <c r="B37" s="6" t="s">
        <v>244</v>
      </c>
      <c r="C37" s="6" t="s">
        <v>205</v>
      </c>
      <c r="D37" s="10"/>
      <c r="E37" t="s">
        <v>312</v>
      </c>
      <c r="F37">
        <f t="shared" si="1"/>
        <v>3</v>
      </c>
    </row>
    <row r="38" spans="1:6" x14ac:dyDescent="0.3">
      <c r="A38" s="6" t="s">
        <v>268</v>
      </c>
      <c r="B38" s="6" t="s">
        <v>269</v>
      </c>
      <c r="C38" s="6" t="s">
        <v>270</v>
      </c>
      <c r="D38" s="10"/>
      <c r="E38" t="s">
        <v>312</v>
      </c>
      <c r="F38">
        <f t="shared" si="1"/>
        <v>3</v>
      </c>
    </row>
    <row r="39" spans="1:6" x14ac:dyDescent="0.3">
      <c r="A39" s="6" t="s">
        <v>169</v>
      </c>
      <c r="B39" s="6" t="s">
        <v>238</v>
      </c>
      <c r="C39" s="6" t="s">
        <v>156</v>
      </c>
      <c r="D39" s="10"/>
      <c r="E39" t="s">
        <v>312</v>
      </c>
      <c r="F39">
        <f t="shared" si="1"/>
        <v>3</v>
      </c>
    </row>
    <row r="40" spans="1:6" x14ac:dyDescent="0.3">
      <c r="A40" s="6" t="s">
        <v>191</v>
      </c>
      <c r="B40" s="6" t="s">
        <v>135</v>
      </c>
      <c r="C40" s="6" t="s">
        <v>192</v>
      </c>
      <c r="D40" s="10"/>
      <c r="E40" t="s">
        <v>312</v>
      </c>
      <c r="F40">
        <f t="shared" si="1"/>
        <v>3</v>
      </c>
    </row>
    <row r="41" spans="1:6" x14ac:dyDescent="0.3">
      <c r="A41" s="6" t="s">
        <v>189</v>
      </c>
      <c r="B41" s="6" t="s">
        <v>245</v>
      </c>
      <c r="C41" s="6" t="s">
        <v>190</v>
      </c>
      <c r="D41" s="6"/>
      <c r="E41" t="s">
        <v>312</v>
      </c>
      <c r="F41">
        <f t="shared" si="1"/>
        <v>3</v>
      </c>
    </row>
    <row r="42" spans="1:6" x14ac:dyDescent="0.3">
      <c r="A42" s="6" t="s">
        <v>254</v>
      </c>
      <c r="B42" s="6" t="s">
        <v>255</v>
      </c>
      <c r="C42" s="6" t="s">
        <v>256</v>
      </c>
      <c r="D42" s="10"/>
      <c r="E42" t="s">
        <v>312</v>
      </c>
      <c r="F42">
        <f t="shared" si="1"/>
        <v>3</v>
      </c>
    </row>
    <row r="43" spans="1:6" x14ac:dyDescent="0.3">
      <c r="A43" s="6" t="s">
        <v>200</v>
      </c>
      <c r="B43" s="6" t="s">
        <v>201</v>
      </c>
      <c r="C43" s="6" t="s">
        <v>202</v>
      </c>
      <c r="D43" s="6"/>
      <c r="E43" t="s">
        <v>312</v>
      </c>
      <c r="F43">
        <f t="shared" si="1"/>
        <v>3</v>
      </c>
    </row>
    <row r="44" spans="1:6" x14ac:dyDescent="0.3">
      <c r="A44" s="6" t="s">
        <v>217</v>
      </c>
      <c r="B44" s="6" t="s">
        <v>141</v>
      </c>
      <c r="C44" s="6" t="s">
        <v>218</v>
      </c>
      <c r="D44" s="6"/>
      <c r="E44" t="s">
        <v>312</v>
      </c>
      <c r="F44">
        <f t="shared" si="1"/>
        <v>3</v>
      </c>
    </row>
    <row r="45" spans="1:6" x14ac:dyDescent="0.3">
      <c r="A45" s="6" t="s">
        <v>177</v>
      </c>
      <c r="B45" s="6" t="s">
        <v>222</v>
      </c>
      <c r="C45" s="6" t="s">
        <v>264</v>
      </c>
      <c r="D45" s="10"/>
      <c r="E45" t="s">
        <v>311</v>
      </c>
      <c r="F45">
        <f t="shared" si="1"/>
        <v>4</v>
      </c>
    </row>
    <row r="46" spans="1:6" x14ac:dyDescent="0.3">
      <c r="A46" s="6" t="s">
        <v>260</v>
      </c>
      <c r="B46" s="6" t="s">
        <v>307</v>
      </c>
      <c r="C46" s="6" t="s">
        <v>308</v>
      </c>
      <c r="D46" s="10"/>
      <c r="E46" t="s">
        <v>311</v>
      </c>
      <c r="F46">
        <f t="shared" si="1"/>
        <v>4</v>
      </c>
    </row>
    <row r="47" spans="1:6" x14ac:dyDescent="0.3">
      <c r="A47" s="6" t="s">
        <v>271</v>
      </c>
      <c r="B47" s="6" t="s">
        <v>272</v>
      </c>
      <c r="C47" s="6" t="s">
        <v>273</v>
      </c>
      <c r="D47" s="10"/>
      <c r="E47" t="s">
        <v>311</v>
      </c>
      <c r="F47">
        <f t="shared" si="1"/>
        <v>4</v>
      </c>
    </row>
    <row r="48" spans="1:6" x14ac:dyDescent="0.3">
      <c r="A48" s="6" t="s">
        <v>257</v>
      </c>
      <c r="B48" s="6" t="s">
        <v>259</v>
      </c>
      <c r="C48" s="6" t="s">
        <v>258</v>
      </c>
      <c r="D48" s="10"/>
      <c r="E48" t="s">
        <v>311</v>
      </c>
      <c r="F48">
        <f t="shared" si="1"/>
        <v>4</v>
      </c>
    </row>
    <row r="49" spans="1:6" x14ac:dyDescent="0.3">
      <c r="A49" s="6" t="s">
        <v>214</v>
      </c>
      <c r="B49" s="6" t="s">
        <v>329</v>
      </c>
      <c r="C49" s="6" t="s">
        <v>329</v>
      </c>
      <c r="D49" s="10"/>
      <c r="E49" t="s">
        <v>328</v>
      </c>
      <c r="F49">
        <f t="shared" si="1"/>
        <v>5</v>
      </c>
    </row>
    <row r="50" spans="1:6" x14ac:dyDescent="0.3">
      <c r="A50" s="6" t="s">
        <v>188</v>
      </c>
      <c r="B50" s="6" t="s">
        <v>246</v>
      </c>
      <c r="C50" s="6" t="s">
        <v>160</v>
      </c>
      <c r="D50" s="10"/>
      <c r="E50" t="s">
        <v>328</v>
      </c>
      <c r="F50">
        <f t="shared" si="1"/>
        <v>5</v>
      </c>
    </row>
    <row r="51" spans="1:6" x14ac:dyDescent="0.3">
      <c r="A51" s="6" t="s">
        <v>237</v>
      </c>
      <c r="B51" s="6" t="s">
        <v>153</v>
      </c>
      <c r="C51" s="10" t="s">
        <v>223</v>
      </c>
      <c r="D51" s="10"/>
      <c r="E51" t="s">
        <v>328</v>
      </c>
      <c r="F51">
        <f t="shared" si="1"/>
        <v>5</v>
      </c>
    </row>
  </sheetData>
  <sortState xmlns:xlrd2="http://schemas.microsoft.com/office/spreadsheetml/2017/richdata2" ref="A2:F51">
    <sortCondition ref="F2:F51"/>
    <sortCondition ref="A2:A51"/>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DF46-43D1-4A7A-BD4D-3DE706CA4551}">
  <dimension ref="A1:B1"/>
  <sheetViews>
    <sheetView workbookViewId="0">
      <selection activeCell="A21" sqref="A21"/>
    </sheetView>
  </sheetViews>
  <sheetFormatPr defaultRowHeight="14.4" x14ac:dyDescent="0.3"/>
  <sheetData>
    <row r="1" spans="1:2" x14ac:dyDescent="0.3">
      <c r="A1" t="s">
        <v>385</v>
      </c>
      <c r="B1" t="s">
        <v>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3C09D-E45C-4F95-B0B3-4CD0B9B1A29F}">
  <dimension ref="A1:D51"/>
  <sheetViews>
    <sheetView topLeftCell="A41" workbookViewId="0">
      <selection activeCell="D45" sqref="D45"/>
    </sheetView>
  </sheetViews>
  <sheetFormatPr defaultRowHeight="14.4" x14ac:dyDescent="0.3"/>
  <cols>
    <col min="1" max="1" width="17.44140625" bestFit="1" customWidth="1"/>
    <col min="2" max="2" width="10.5546875" bestFit="1" customWidth="1"/>
    <col min="4" max="4" width="150.5546875" style="8" customWidth="1"/>
  </cols>
  <sheetData>
    <row r="1" spans="1:4" x14ac:dyDescent="0.3">
      <c r="A1" s="4" t="s">
        <v>8</v>
      </c>
      <c r="B1" s="4" t="s">
        <v>309</v>
      </c>
      <c r="C1" s="4" t="s">
        <v>314</v>
      </c>
      <c r="D1" s="7" t="s">
        <v>324</v>
      </c>
    </row>
    <row r="2" spans="1:4" x14ac:dyDescent="0.3">
      <c r="A2" t="s">
        <v>229</v>
      </c>
      <c r="B2" t="s">
        <v>310</v>
      </c>
      <c r="C2">
        <f t="shared" ref="C2:C51" si="0">IF(B2="Common",1,IF(B2="Uncommon",2,IF(B2="Rare",3,IF(B2="Legendary",4,IF(B2="Unique",5,"")))))</f>
        <v>1</v>
      </c>
    </row>
    <row r="3" spans="1:4" x14ac:dyDescent="0.3">
      <c r="A3" t="s">
        <v>176</v>
      </c>
      <c r="B3" t="s">
        <v>310</v>
      </c>
      <c r="C3">
        <f t="shared" si="0"/>
        <v>1</v>
      </c>
    </row>
    <row r="4" spans="1:4" x14ac:dyDescent="0.3">
      <c r="A4" t="s">
        <v>173</v>
      </c>
      <c r="B4" t="s">
        <v>310</v>
      </c>
      <c r="C4">
        <f t="shared" si="0"/>
        <v>1</v>
      </c>
    </row>
    <row r="5" spans="1:4" x14ac:dyDescent="0.3">
      <c r="A5" t="s">
        <v>219</v>
      </c>
      <c r="B5" t="s">
        <v>310</v>
      </c>
      <c r="C5">
        <f t="shared" si="0"/>
        <v>1</v>
      </c>
    </row>
    <row r="6" spans="1:4" x14ac:dyDescent="0.3">
      <c r="A6" t="s">
        <v>225</v>
      </c>
      <c r="B6" t="s">
        <v>310</v>
      </c>
      <c r="C6">
        <f t="shared" si="0"/>
        <v>1</v>
      </c>
    </row>
    <row r="7" spans="1:4" x14ac:dyDescent="0.3">
      <c r="A7" t="s">
        <v>197</v>
      </c>
      <c r="B7" t="s">
        <v>310</v>
      </c>
      <c r="C7">
        <f t="shared" si="0"/>
        <v>1</v>
      </c>
    </row>
    <row r="8" spans="1:4" x14ac:dyDescent="0.3">
      <c r="A8" t="s">
        <v>171</v>
      </c>
      <c r="B8" t="s">
        <v>310</v>
      </c>
      <c r="C8">
        <f t="shared" si="0"/>
        <v>1</v>
      </c>
    </row>
    <row r="9" spans="1:4" x14ac:dyDescent="0.3">
      <c r="A9" t="s">
        <v>164</v>
      </c>
      <c r="B9" t="s">
        <v>310</v>
      </c>
      <c r="C9">
        <f t="shared" si="0"/>
        <v>1</v>
      </c>
    </row>
    <row r="10" spans="1:4" x14ac:dyDescent="0.3">
      <c r="A10" t="s">
        <v>172</v>
      </c>
      <c r="B10" t="s">
        <v>310</v>
      </c>
      <c r="C10">
        <f t="shared" si="0"/>
        <v>1</v>
      </c>
    </row>
    <row r="11" spans="1:4" x14ac:dyDescent="0.3">
      <c r="A11" t="s">
        <v>0</v>
      </c>
      <c r="B11" t="s">
        <v>310</v>
      </c>
      <c r="C11">
        <f t="shared" si="0"/>
        <v>1</v>
      </c>
    </row>
    <row r="12" spans="1:4" x14ac:dyDescent="0.3">
      <c r="A12" t="s">
        <v>180</v>
      </c>
      <c r="B12" t="s">
        <v>310</v>
      </c>
      <c r="C12">
        <f t="shared" si="0"/>
        <v>1</v>
      </c>
    </row>
    <row r="13" spans="1:4" x14ac:dyDescent="0.3">
      <c r="A13" t="s">
        <v>208</v>
      </c>
      <c r="B13" t="s">
        <v>310</v>
      </c>
      <c r="C13">
        <f t="shared" si="0"/>
        <v>1</v>
      </c>
    </row>
    <row r="14" spans="1:4" x14ac:dyDescent="0.3">
      <c r="A14" t="s">
        <v>227</v>
      </c>
      <c r="B14" t="s">
        <v>310</v>
      </c>
      <c r="C14">
        <f t="shared" si="0"/>
        <v>1</v>
      </c>
    </row>
    <row r="15" spans="1:4" x14ac:dyDescent="0.3">
      <c r="A15" t="s">
        <v>170</v>
      </c>
      <c r="B15" t="s">
        <v>310</v>
      </c>
      <c r="C15">
        <f t="shared" si="0"/>
        <v>1</v>
      </c>
    </row>
    <row r="16" spans="1:4" x14ac:dyDescent="0.3">
      <c r="A16" t="s">
        <v>184</v>
      </c>
      <c r="B16" t="s">
        <v>310</v>
      </c>
      <c r="C16">
        <f t="shared" si="0"/>
        <v>1</v>
      </c>
    </row>
    <row r="17" spans="1:3" x14ac:dyDescent="0.3">
      <c r="A17" t="s">
        <v>182</v>
      </c>
      <c r="B17" t="s">
        <v>310</v>
      </c>
      <c r="C17">
        <f t="shared" si="0"/>
        <v>1</v>
      </c>
    </row>
    <row r="18" spans="1:3" x14ac:dyDescent="0.3">
      <c r="A18" t="s">
        <v>185</v>
      </c>
      <c r="B18" t="s">
        <v>310</v>
      </c>
      <c r="C18">
        <f t="shared" si="0"/>
        <v>1</v>
      </c>
    </row>
    <row r="19" spans="1:3" x14ac:dyDescent="0.3">
      <c r="A19" t="s">
        <v>203</v>
      </c>
      <c r="B19" t="s">
        <v>310</v>
      </c>
      <c r="C19">
        <f t="shared" si="0"/>
        <v>1</v>
      </c>
    </row>
    <row r="20" spans="1:3" x14ac:dyDescent="0.3">
      <c r="A20" t="s">
        <v>165</v>
      </c>
      <c r="B20" t="s">
        <v>310</v>
      </c>
      <c r="C20">
        <f t="shared" si="0"/>
        <v>1</v>
      </c>
    </row>
    <row r="21" spans="1:3" x14ac:dyDescent="0.3">
      <c r="A21" t="s">
        <v>233</v>
      </c>
      <c r="B21" t="s">
        <v>310</v>
      </c>
      <c r="C21">
        <f t="shared" si="0"/>
        <v>1</v>
      </c>
    </row>
    <row r="22" spans="1:3" x14ac:dyDescent="0.3">
      <c r="A22" t="s">
        <v>261</v>
      </c>
      <c r="B22" t="s">
        <v>313</v>
      </c>
      <c r="C22">
        <f t="shared" si="0"/>
        <v>2</v>
      </c>
    </row>
    <row r="23" spans="1:3" x14ac:dyDescent="0.3">
      <c r="A23" t="s">
        <v>193</v>
      </c>
      <c r="B23" t="s">
        <v>313</v>
      </c>
      <c r="C23">
        <f t="shared" si="0"/>
        <v>2</v>
      </c>
    </row>
    <row r="24" spans="1:3" x14ac:dyDescent="0.3">
      <c r="A24" t="s">
        <v>175</v>
      </c>
      <c r="B24" t="s">
        <v>313</v>
      </c>
      <c r="C24">
        <f t="shared" si="0"/>
        <v>2</v>
      </c>
    </row>
    <row r="25" spans="1:3" x14ac:dyDescent="0.3">
      <c r="A25" t="s">
        <v>215</v>
      </c>
      <c r="B25" t="s">
        <v>313</v>
      </c>
      <c r="C25">
        <f t="shared" si="0"/>
        <v>2</v>
      </c>
    </row>
    <row r="26" spans="1:3" x14ac:dyDescent="0.3">
      <c r="A26" t="s">
        <v>212</v>
      </c>
      <c r="B26" t="s">
        <v>313</v>
      </c>
      <c r="C26">
        <f t="shared" si="0"/>
        <v>2</v>
      </c>
    </row>
    <row r="27" spans="1:3" x14ac:dyDescent="0.3">
      <c r="A27" t="s">
        <v>210</v>
      </c>
      <c r="B27" t="s">
        <v>313</v>
      </c>
      <c r="C27">
        <f t="shared" si="0"/>
        <v>2</v>
      </c>
    </row>
    <row r="28" spans="1:3" x14ac:dyDescent="0.3">
      <c r="A28" t="s">
        <v>198</v>
      </c>
      <c r="B28" t="s">
        <v>313</v>
      </c>
      <c r="C28">
        <f t="shared" si="0"/>
        <v>2</v>
      </c>
    </row>
    <row r="29" spans="1:3" x14ac:dyDescent="0.3">
      <c r="A29" t="s">
        <v>221</v>
      </c>
      <c r="B29" t="s">
        <v>313</v>
      </c>
      <c r="C29">
        <f t="shared" si="0"/>
        <v>2</v>
      </c>
    </row>
    <row r="30" spans="1:3" x14ac:dyDescent="0.3">
      <c r="A30" t="s">
        <v>174</v>
      </c>
      <c r="B30" t="s">
        <v>313</v>
      </c>
      <c r="C30">
        <f t="shared" si="0"/>
        <v>2</v>
      </c>
    </row>
    <row r="31" spans="1:3" x14ac:dyDescent="0.3">
      <c r="A31" t="s">
        <v>235</v>
      </c>
      <c r="B31" t="s">
        <v>313</v>
      </c>
      <c r="C31">
        <f t="shared" si="0"/>
        <v>2</v>
      </c>
    </row>
    <row r="32" spans="1:3" x14ac:dyDescent="0.3">
      <c r="A32" t="s">
        <v>195</v>
      </c>
      <c r="B32" t="s">
        <v>313</v>
      </c>
      <c r="C32">
        <f t="shared" si="0"/>
        <v>2</v>
      </c>
    </row>
    <row r="33" spans="1:4" x14ac:dyDescent="0.3">
      <c r="A33" t="s">
        <v>168</v>
      </c>
      <c r="B33" t="s">
        <v>313</v>
      </c>
      <c r="C33">
        <f t="shared" si="0"/>
        <v>2</v>
      </c>
    </row>
    <row r="34" spans="1:4" x14ac:dyDescent="0.3">
      <c r="A34" t="s">
        <v>231</v>
      </c>
      <c r="B34" t="s">
        <v>313</v>
      </c>
      <c r="C34">
        <f t="shared" si="0"/>
        <v>2</v>
      </c>
    </row>
    <row r="35" spans="1:4" x14ac:dyDescent="0.3">
      <c r="A35" t="s">
        <v>206</v>
      </c>
      <c r="B35" t="s">
        <v>313</v>
      </c>
      <c r="C35">
        <f t="shared" si="0"/>
        <v>2</v>
      </c>
    </row>
    <row r="36" spans="1:4" x14ac:dyDescent="0.3">
      <c r="A36" t="s">
        <v>224</v>
      </c>
      <c r="B36" t="s">
        <v>313</v>
      </c>
      <c r="C36">
        <f t="shared" si="0"/>
        <v>2</v>
      </c>
    </row>
    <row r="37" spans="1:4" x14ac:dyDescent="0.3">
      <c r="A37" t="s">
        <v>204</v>
      </c>
      <c r="B37" t="s">
        <v>312</v>
      </c>
      <c r="C37">
        <f t="shared" si="0"/>
        <v>3</v>
      </c>
    </row>
    <row r="38" spans="1:4" x14ac:dyDescent="0.3">
      <c r="A38" t="s">
        <v>268</v>
      </c>
      <c r="B38" t="s">
        <v>312</v>
      </c>
      <c r="C38">
        <f t="shared" si="0"/>
        <v>3</v>
      </c>
    </row>
    <row r="39" spans="1:4" x14ac:dyDescent="0.3">
      <c r="A39" t="s">
        <v>169</v>
      </c>
      <c r="B39" t="s">
        <v>312</v>
      </c>
      <c r="C39">
        <f t="shared" si="0"/>
        <v>3</v>
      </c>
    </row>
    <row r="40" spans="1:4" x14ac:dyDescent="0.3">
      <c r="A40" t="s">
        <v>191</v>
      </c>
      <c r="B40" t="s">
        <v>312</v>
      </c>
      <c r="C40">
        <f t="shared" si="0"/>
        <v>3</v>
      </c>
    </row>
    <row r="41" spans="1:4" x14ac:dyDescent="0.3">
      <c r="A41" t="s">
        <v>189</v>
      </c>
      <c r="B41" t="s">
        <v>312</v>
      </c>
      <c r="C41">
        <f t="shared" si="0"/>
        <v>3</v>
      </c>
    </row>
    <row r="42" spans="1:4" x14ac:dyDescent="0.3">
      <c r="A42" t="s">
        <v>254</v>
      </c>
      <c r="B42" t="s">
        <v>312</v>
      </c>
      <c r="C42">
        <f t="shared" si="0"/>
        <v>3</v>
      </c>
    </row>
    <row r="43" spans="1:4" x14ac:dyDescent="0.3">
      <c r="A43" t="s">
        <v>200</v>
      </c>
      <c r="B43" t="s">
        <v>312</v>
      </c>
      <c r="C43">
        <f t="shared" si="0"/>
        <v>3</v>
      </c>
    </row>
    <row r="44" spans="1:4" x14ac:dyDescent="0.3">
      <c r="A44" t="s">
        <v>217</v>
      </c>
      <c r="B44" t="s">
        <v>312</v>
      </c>
      <c r="C44">
        <f t="shared" si="0"/>
        <v>3</v>
      </c>
    </row>
    <row r="45" spans="1:4" x14ac:dyDescent="0.3">
      <c r="A45" t="s">
        <v>177</v>
      </c>
      <c r="B45" t="s">
        <v>311</v>
      </c>
      <c r="C45">
        <f t="shared" si="0"/>
        <v>4</v>
      </c>
      <c r="D45" s="8" t="s">
        <v>391</v>
      </c>
    </row>
    <row r="46" spans="1:4" x14ac:dyDescent="0.3">
      <c r="A46" t="s">
        <v>260</v>
      </c>
      <c r="B46" t="s">
        <v>311</v>
      </c>
      <c r="C46">
        <f t="shared" si="0"/>
        <v>4</v>
      </c>
    </row>
    <row r="47" spans="1:4" x14ac:dyDescent="0.3">
      <c r="A47" t="s">
        <v>271</v>
      </c>
      <c r="B47" t="s">
        <v>311</v>
      </c>
      <c r="C47">
        <f t="shared" si="0"/>
        <v>4</v>
      </c>
    </row>
    <row r="48" spans="1:4" x14ac:dyDescent="0.3">
      <c r="A48" t="s">
        <v>257</v>
      </c>
      <c r="B48" t="s">
        <v>311</v>
      </c>
      <c r="C48">
        <f t="shared" si="0"/>
        <v>4</v>
      </c>
    </row>
    <row r="49" spans="1:4" x14ac:dyDescent="0.3">
      <c r="A49" t="s">
        <v>214</v>
      </c>
      <c r="B49" t="s">
        <v>328</v>
      </c>
      <c r="C49">
        <f t="shared" si="0"/>
        <v>5</v>
      </c>
      <c r="D49" s="8" t="s">
        <v>390</v>
      </c>
    </row>
    <row r="50" spans="1:4" ht="72" x14ac:dyDescent="0.3">
      <c r="A50" t="s">
        <v>188</v>
      </c>
      <c r="B50" t="s">
        <v>328</v>
      </c>
      <c r="C50">
        <f t="shared" si="0"/>
        <v>5</v>
      </c>
      <c r="D50" s="8" t="s">
        <v>388</v>
      </c>
    </row>
    <row r="51" spans="1:4" ht="28.8" x14ac:dyDescent="0.3">
      <c r="A51" t="s">
        <v>237</v>
      </c>
      <c r="B51" t="s">
        <v>328</v>
      </c>
      <c r="C51">
        <f t="shared" si="0"/>
        <v>5</v>
      </c>
      <c r="D51" s="8" t="s">
        <v>389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C6833-205D-497F-B2F5-6A5461A2AC6F}">
  <dimension ref="A1:A6"/>
  <sheetViews>
    <sheetView workbookViewId="0">
      <selection activeCell="C13" sqref="C13"/>
    </sheetView>
  </sheetViews>
  <sheetFormatPr defaultRowHeight="14.4" x14ac:dyDescent="0.3"/>
  <cols>
    <col min="1" max="1" width="11.6640625" bestFit="1" customWidth="1"/>
  </cols>
  <sheetData>
    <row r="1" spans="1:1" x14ac:dyDescent="0.3">
      <c r="A1" s="6" t="s">
        <v>297</v>
      </c>
    </row>
    <row r="2" spans="1:1" x14ac:dyDescent="0.3">
      <c r="A2" s="6" t="s">
        <v>298</v>
      </c>
    </row>
    <row r="3" spans="1:1" x14ac:dyDescent="0.3">
      <c r="A3" s="6" t="s">
        <v>299</v>
      </c>
    </row>
    <row r="4" spans="1:1" x14ac:dyDescent="0.3">
      <c r="A4" s="6" t="s">
        <v>300</v>
      </c>
    </row>
    <row r="5" spans="1:1" x14ac:dyDescent="0.3">
      <c r="A5" s="6" t="s">
        <v>301</v>
      </c>
    </row>
    <row r="6" spans="1:1" x14ac:dyDescent="0.3">
      <c r="A6" s="6" t="s">
        <v>302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137E-1A1C-4137-828B-A034EA426793}">
  <dimension ref="A1:C22"/>
  <sheetViews>
    <sheetView workbookViewId="0">
      <selection activeCell="B3" sqref="B3"/>
    </sheetView>
  </sheetViews>
  <sheetFormatPr defaultRowHeight="14.4" x14ac:dyDescent="0.3"/>
  <cols>
    <col min="1" max="1" width="80.21875" style="8" customWidth="1"/>
    <col min="2" max="2" width="38.77734375" style="8" bestFit="1" customWidth="1"/>
    <col min="3" max="3" width="68.5546875" style="8" bestFit="1" customWidth="1"/>
  </cols>
  <sheetData>
    <row r="1" spans="1:3" x14ac:dyDescent="0.3">
      <c r="A1" s="7" t="s">
        <v>129</v>
      </c>
      <c r="B1" s="7" t="s">
        <v>275</v>
      </c>
      <c r="C1" s="7" t="s">
        <v>321</v>
      </c>
    </row>
    <row r="2" spans="1:3" ht="129.6" x14ac:dyDescent="0.3">
      <c r="A2" s="8" t="s">
        <v>276</v>
      </c>
      <c r="B2" s="8" t="s">
        <v>274</v>
      </c>
      <c r="C2" s="11" t="s">
        <v>315</v>
      </c>
    </row>
    <row r="3" spans="1:3" x14ac:dyDescent="0.3">
      <c r="A3" s="8" t="s">
        <v>277</v>
      </c>
      <c r="B3" s="13" t="s">
        <v>288</v>
      </c>
      <c r="C3" s="8" t="s">
        <v>316</v>
      </c>
    </row>
    <row r="4" spans="1:3" ht="144" x14ac:dyDescent="0.3">
      <c r="A4" s="8" t="s">
        <v>278</v>
      </c>
      <c r="B4" s="8" t="s">
        <v>289</v>
      </c>
      <c r="C4" s="11" t="s">
        <v>319</v>
      </c>
    </row>
    <row r="5" spans="1:3" ht="57.6" x14ac:dyDescent="0.3">
      <c r="A5" s="8" t="s">
        <v>279</v>
      </c>
      <c r="B5" s="13" t="s">
        <v>293</v>
      </c>
      <c r="C5" s="8" t="s">
        <v>322</v>
      </c>
    </row>
    <row r="6" spans="1:3" x14ac:dyDescent="0.3">
      <c r="A6" s="8" t="s">
        <v>348</v>
      </c>
      <c r="C6" s="8" t="s">
        <v>323</v>
      </c>
    </row>
    <row r="7" spans="1:3" ht="28.8" x14ac:dyDescent="0.3">
      <c r="A7" s="8" t="s">
        <v>280</v>
      </c>
      <c r="C7" s="8" t="s">
        <v>325</v>
      </c>
    </row>
    <row r="8" spans="1:3" ht="331.2" x14ac:dyDescent="0.3">
      <c r="A8" s="8" t="s">
        <v>281</v>
      </c>
      <c r="C8" s="8" t="s">
        <v>326</v>
      </c>
    </row>
    <row r="9" spans="1:3" x14ac:dyDescent="0.3">
      <c r="A9" s="8" t="s">
        <v>282</v>
      </c>
    </row>
    <row r="10" spans="1:3" ht="28.8" x14ac:dyDescent="0.3">
      <c r="A10" s="8" t="s">
        <v>283</v>
      </c>
    </row>
    <row r="11" spans="1:3" ht="28.8" x14ac:dyDescent="0.3">
      <c r="A11" s="8" t="s">
        <v>284</v>
      </c>
    </row>
    <row r="12" spans="1:3" ht="28.8" x14ac:dyDescent="0.3">
      <c r="A12" s="8" t="s">
        <v>285</v>
      </c>
    </row>
    <row r="13" spans="1:3" x14ac:dyDescent="0.3">
      <c r="A13" s="8" t="s">
        <v>286</v>
      </c>
    </row>
    <row r="14" spans="1:3" x14ac:dyDescent="0.3">
      <c r="A14" s="8" t="s">
        <v>287</v>
      </c>
    </row>
    <row r="15" spans="1:3" ht="28.8" x14ac:dyDescent="0.3">
      <c r="A15" s="8" t="s">
        <v>290</v>
      </c>
    </row>
    <row r="16" spans="1:3" ht="28.8" x14ac:dyDescent="0.3">
      <c r="A16" s="8" t="s">
        <v>291</v>
      </c>
    </row>
    <row r="17" spans="1:1" x14ac:dyDescent="0.3">
      <c r="A17" s="8" t="s">
        <v>292</v>
      </c>
    </row>
    <row r="18" spans="1:1" ht="28.8" x14ac:dyDescent="0.3">
      <c r="A18" s="8" t="s">
        <v>294</v>
      </c>
    </row>
    <row r="19" spans="1:1" ht="28.8" x14ac:dyDescent="0.3">
      <c r="A19" s="8" t="s">
        <v>295</v>
      </c>
    </row>
    <row r="20" spans="1:1" x14ac:dyDescent="0.3">
      <c r="A20" s="9" t="s">
        <v>303</v>
      </c>
    </row>
    <row r="21" spans="1:1" x14ac:dyDescent="0.3">
      <c r="A21" s="8" t="s">
        <v>320</v>
      </c>
    </row>
    <row r="22" spans="1:1" x14ac:dyDescent="0.3">
      <c r="A22" s="8" t="s">
        <v>338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EFDC-47D5-4A40-97CD-E1B5E5876EFD}">
  <dimension ref="A1:A53"/>
  <sheetViews>
    <sheetView topLeftCell="A29" workbookViewId="0">
      <selection activeCell="A54" sqref="A54"/>
    </sheetView>
  </sheetViews>
  <sheetFormatPr defaultRowHeight="14.4" x14ac:dyDescent="0.3"/>
  <cols>
    <col min="1" max="1" width="63.44140625" bestFit="1" customWidth="1"/>
  </cols>
  <sheetData>
    <row r="1" spans="1:1" x14ac:dyDescent="0.3">
      <c r="A1" s="7" t="s">
        <v>331</v>
      </c>
    </row>
    <row r="2" spans="1:1" x14ac:dyDescent="0.3">
      <c r="A2" t="s">
        <v>330</v>
      </c>
    </row>
    <row r="3" spans="1:1" x14ac:dyDescent="0.3">
      <c r="A3" t="s">
        <v>332</v>
      </c>
    </row>
    <row r="4" spans="1:1" x14ac:dyDescent="0.3">
      <c r="A4" t="s">
        <v>333</v>
      </c>
    </row>
    <row r="5" spans="1:1" x14ac:dyDescent="0.3">
      <c r="A5" t="s">
        <v>334</v>
      </c>
    </row>
    <row r="6" spans="1:1" x14ac:dyDescent="0.3">
      <c r="A6" t="s">
        <v>335</v>
      </c>
    </row>
    <row r="7" spans="1:1" x14ac:dyDescent="0.3">
      <c r="A7" t="s">
        <v>336</v>
      </c>
    </row>
    <row r="8" spans="1:1" x14ac:dyDescent="0.3">
      <c r="A8" t="s">
        <v>337</v>
      </c>
    </row>
    <row r="9" spans="1:1" x14ac:dyDescent="0.3">
      <c r="A9" t="s">
        <v>357</v>
      </c>
    </row>
    <row r="10" spans="1:1" x14ac:dyDescent="0.3">
      <c r="A10" t="s">
        <v>339</v>
      </c>
    </row>
    <row r="11" spans="1:1" x14ac:dyDescent="0.3">
      <c r="A11" t="s">
        <v>340</v>
      </c>
    </row>
    <row r="12" spans="1:1" x14ac:dyDescent="0.3">
      <c r="A12" t="s">
        <v>343</v>
      </c>
    </row>
    <row r="13" spans="1:1" x14ac:dyDescent="0.3">
      <c r="A13" t="s">
        <v>341</v>
      </c>
    </row>
    <row r="14" spans="1:1" x14ac:dyDescent="0.3">
      <c r="A14" t="s">
        <v>342</v>
      </c>
    </row>
    <row r="15" spans="1:1" x14ac:dyDescent="0.3">
      <c r="A15" t="s">
        <v>344</v>
      </c>
    </row>
    <row r="16" spans="1:1" x14ac:dyDescent="0.3">
      <c r="A16" t="s">
        <v>345</v>
      </c>
    </row>
    <row r="17" spans="1:1" x14ac:dyDescent="0.3">
      <c r="A17" t="s">
        <v>346</v>
      </c>
    </row>
    <row r="18" spans="1:1" x14ac:dyDescent="0.3">
      <c r="A18" t="s">
        <v>347</v>
      </c>
    </row>
    <row r="19" spans="1:1" x14ac:dyDescent="0.3">
      <c r="A19" t="s">
        <v>349</v>
      </c>
    </row>
    <row r="20" spans="1:1" x14ac:dyDescent="0.3">
      <c r="A20" t="s">
        <v>350</v>
      </c>
    </row>
    <row r="21" spans="1:1" x14ac:dyDescent="0.3">
      <c r="A21" t="s">
        <v>351</v>
      </c>
    </row>
    <row r="22" spans="1:1" x14ac:dyDescent="0.3">
      <c r="A22" t="s">
        <v>352</v>
      </c>
    </row>
    <row r="23" spans="1:1" x14ac:dyDescent="0.3">
      <c r="A23" t="s">
        <v>353</v>
      </c>
    </row>
    <row r="24" spans="1:1" x14ac:dyDescent="0.3">
      <c r="A24" t="s">
        <v>354</v>
      </c>
    </row>
    <row r="25" spans="1:1" x14ac:dyDescent="0.3">
      <c r="A25" t="s">
        <v>355</v>
      </c>
    </row>
    <row r="26" spans="1:1" x14ac:dyDescent="0.3">
      <c r="A26" t="s">
        <v>356</v>
      </c>
    </row>
    <row r="27" spans="1:1" x14ac:dyDescent="0.3">
      <c r="A27" t="s">
        <v>358</v>
      </c>
    </row>
    <row r="28" spans="1:1" x14ac:dyDescent="0.3">
      <c r="A28" t="s">
        <v>359</v>
      </c>
    </row>
    <row r="29" spans="1:1" x14ac:dyDescent="0.3">
      <c r="A29" t="s">
        <v>360</v>
      </c>
    </row>
    <row r="30" spans="1:1" x14ac:dyDescent="0.3">
      <c r="A30" t="s">
        <v>361</v>
      </c>
    </row>
    <row r="31" spans="1:1" x14ac:dyDescent="0.3">
      <c r="A31" t="s">
        <v>362</v>
      </c>
    </row>
    <row r="32" spans="1:1" x14ac:dyDescent="0.3">
      <c r="A32" t="s">
        <v>363</v>
      </c>
    </row>
    <row r="33" spans="1:1" x14ac:dyDescent="0.3">
      <c r="A33" t="s">
        <v>364</v>
      </c>
    </row>
    <row r="34" spans="1:1" x14ac:dyDescent="0.3">
      <c r="A34" t="s">
        <v>365</v>
      </c>
    </row>
    <row r="35" spans="1:1" x14ac:dyDescent="0.3">
      <c r="A35" t="s">
        <v>366</v>
      </c>
    </row>
    <row r="36" spans="1:1" x14ac:dyDescent="0.3">
      <c r="A36" t="s">
        <v>367</v>
      </c>
    </row>
    <row r="37" spans="1:1" x14ac:dyDescent="0.3">
      <c r="A37" t="s">
        <v>368</v>
      </c>
    </row>
    <row r="38" spans="1:1" x14ac:dyDescent="0.3">
      <c r="A38" t="s">
        <v>369</v>
      </c>
    </row>
    <row r="39" spans="1:1" x14ac:dyDescent="0.3">
      <c r="A39" t="s">
        <v>370</v>
      </c>
    </row>
    <row r="40" spans="1:1" x14ac:dyDescent="0.3">
      <c r="A40" t="s">
        <v>371</v>
      </c>
    </row>
    <row r="41" spans="1:1" x14ac:dyDescent="0.3">
      <c r="A41" t="s">
        <v>372</v>
      </c>
    </row>
    <row r="42" spans="1:1" x14ac:dyDescent="0.3">
      <c r="A42" t="s">
        <v>373</v>
      </c>
    </row>
    <row r="43" spans="1:1" x14ac:dyDescent="0.3">
      <c r="A43" t="s">
        <v>374</v>
      </c>
    </row>
    <row r="44" spans="1:1" x14ac:dyDescent="0.3">
      <c r="A44" t="s">
        <v>375</v>
      </c>
    </row>
    <row r="45" spans="1:1" x14ac:dyDescent="0.3">
      <c r="A45" t="s">
        <v>376</v>
      </c>
    </row>
    <row r="46" spans="1:1" x14ac:dyDescent="0.3">
      <c r="A46" t="s">
        <v>377</v>
      </c>
    </row>
    <row r="47" spans="1:1" x14ac:dyDescent="0.3">
      <c r="A47" t="s">
        <v>378</v>
      </c>
    </row>
    <row r="48" spans="1:1" x14ac:dyDescent="0.3">
      <c r="A48" t="s">
        <v>379</v>
      </c>
    </row>
    <row r="49" spans="1:1" x14ac:dyDescent="0.3">
      <c r="A49" t="s">
        <v>380</v>
      </c>
    </row>
    <row r="50" spans="1:1" x14ac:dyDescent="0.3">
      <c r="A50" t="s">
        <v>381</v>
      </c>
    </row>
    <row r="51" spans="1:1" x14ac:dyDescent="0.3">
      <c r="A51" t="s">
        <v>382</v>
      </c>
    </row>
    <row r="52" spans="1:1" x14ac:dyDescent="0.3">
      <c r="A52" t="s">
        <v>383</v>
      </c>
    </row>
    <row r="53" spans="1:1" x14ac:dyDescent="0.3">
      <c r="A53" t="s">
        <v>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Todo</vt:lpstr>
      <vt:lpstr>Enemies</vt:lpstr>
      <vt:lpstr>POI</vt:lpstr>
      <vt:lpstr>Weapons Audit</vt:lpstr>
      <vt:lpstr>Passive Items</vt:lpstr>
      <vt:lpstr>Ultimates</vt:lpstr>
      <vt:lpstr>Biomes</vt:lpstr>
      <vt:lpstr>Ideas</vt:lpstr>
      <vt:lpstr>Achievements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mtgra</dc:creator>
  <cp:lastModifiedBy>mtgraps22@gmail.com</cp:lastModifiedBy>
  <dcterms:created xsi:type="dcterms:W3CDTF">2015-06-05T18:17:20Z</dcterms:created>
  <dcterms:modified xsi:type="dcterms:W3CDTF">2026-04-24T16:11:30Z</dcterms:modified>
</cp:coreProperties>
</file>